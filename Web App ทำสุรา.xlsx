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นวณเตรียมวัตถุดิบทำ เอนไซม์" sheetId="1" r:id="rId4"/>
    <sheet state="visible" name="ตารางการแก้ไขค่าความเข้มข้นแอลก" sheetId="2" r:id="rId5"/>
    <sheet state="visible" name="สูตรคำนวณ ปรับ ค่าดีกรีแอลกอฮอล" sheetId="3" r:id="rId6"/>
    <sheet state="visible" name="สูตรคำนวณข้าวหมัก" sheetId="4" r:id="rId7"/>
    <sheet state="visible" name="สูตรคำนวณข้าว+น้ำตาล" sheetId="5" r:id="rId8"/>
    <sheet state="visible" name="สูตรคำนวณใส่น้ำผลไม้ + ข้าวหรือ" sheetId="6" r:id="rId9"/>
    <sheet state="visible" name="สูตรคำนวณใส่น้ำผลไม้" sheetId="7" r:id="rId10"/>
    <sheet state="visible" name="สูตรทำแอลกอฮอล์" sheetId="8" r:id="rId11"/>
    <sheet state="visible" name="ขั้นตอนการทำหมักแอลกอฮอล์" sheetId="9" r:id="rId12"/>
    <sheet state="visible" name="ตารางกลิ่นและรสชาติของวัตถุดิบ" sheetId="10" r:id="rId13"/>
    <sheet state="visible" name="ความหวาน" sheetId="11" r:id="rId14"/>
    <sheet state="visible" name="หมักผลไม้ทำแอลกอฮอล์" sheetId="12" r:id="rId15"/>
    <sheet state="visible" name="หมักธัญพืชคั่วทำแอลกอฮอล์" sheetId="13" r:id="rId16"/>
  </sheets>
  <definedNames/>
  <calcPr/>
  <extLst>
    <ext uri="GoogleSheetsCustomDataVersion2">
      <go:sheetsCustomData xmlns:go="http://customooxmlschemas.google.com/" r:id="rId17" roundtripDataChecksum="LktwSU5DQvyg7RfHvMow+3sSJbsfLY0Mu0QI7I4eruA="/>
    </ext>
  </extLst>
</workbook>
</file>

<file path=xl/sharedStrings.xml><?xml version="1.0" encoding="utf-8"?>
<sst xmlns="http://schemas.openxmlformats.org/spreadsheetml/2006/main" count="347" uniqueCount="241">
  <si>
    <r>
      <rPr>
        <rFont val="Arial"/>
        <b/>
        <color rgb="FFF3F3F3"/>
        <sz val="16.0"/>
      </rPr>
      <t xml:space="preserve">คำนวณเตรียมวัตถุดิบทำ เอนไซม์
</t>
    </r>
    <r>
      <rPr>
        <rFont val="Arial"/>
        <b/>
        <color rgb="FFFF9900"/>
        <sz val="16.0"/>
      </rPr>
      <t>(ใช้เฉพาะอากาศเย็น อากาศร้อนไม่จำเป็นต้องใช้ ใช้ให้หมดใน 5 วัน)</t>
    </r>
  </si>
  <si>
    <t>คำนวณเตรียมวัตถุดิบอื่นๆ</t>
  </si>
  <si>
    <t>อัตราส่วนวัตถุดิบ ต่อน้ำ</t>
  </si>
  <si>
    <t>อัตราส่วนวัตถุดิบ ต่อน้ำที่ทำ</t>
  </si>
  <si>
    <t>เอนไซม์ที่ใช้
ต่อน้ำหมัก 100 ลิตร</t>
  </si>
  <si>
    <t>ยีสต์ ต่อ1ถัง(กรัม)</t>
  </si>
  <si>
    <t>โซเดียมเมตาไบซัลไฟต์
ต่อ 1 ถัง(กรัม)</t>
  </si>
  <si>
    <t>ปริมาณน้ำ(ลิตร)</t>
  </si>
  <si>
    <t>เอนไซน์(กรัม)</t>
  </si>
  <si>
    <t>ปริมาณน้ำ
ที่ใช้ใน 1 ถัง(ลิตร)</t>
  </si>
  <si>
    <t>เอนไซม์ที่ต้องใช้ในการหมัก
ต่อถัง(ลิตร)</t>
  </si>
  <si>
    <t>ยีสต์ ทั้งหมด(กรัม)</t>
  </si>
  <si>
    <t>โซเดียมเมตาไบซัลไฟต์
ทั้งหมด(กรัม)</t>
  </si>
  <si>
    <t>ยีสต์(กรัม)</t>
  </si>
  <si>
    <t>แคลเซียมซัลไฟต์(กรัม)</t>
  </si>
  <si>
    <t>ลูกแป้ง ต่อ1ถัง(กรัม)</t>
  </si>
  <si>
    <t>น้ำตาล(Kg)</t>
  </si>
  <si>
    <t>จำนวนถัง
ทั้งหมดที่จะหมัก</t>
  </si>
  <si>
    <t>เอนไซม์ที่ต้องใช้ในการหมัก
ต่อน้ำที่ใช้จริงทั้งหมด(ลิตร)</t>
  </si>
  <si>
    <t>กากน้ำตาล(Kg)</t>
  </si>
  <si>
    <t>ลูกแป้ง ทั้งหมด(กรัม)</t>
  </si>
  <si>
    <t>ผสมให้วัตถุดิบละลายเข้ากัน แล้วปิดฝาภาชนะแบบหลวมๆ คนวัน 1 ครั้ง 2 วัน 
ควบคุมอุณหภูมิที่ 28-32°C และเก็บใว้จนครบ 5 วันถึงนำออกมาใช้</t>
  </si>
  <si>
    <t>ตารางการแก้ไขค่าความเข้มข้นแอลกอฮอล์</t>
  </si>
  <si>
    <t xml:space="preserve">อุณหภูมิ </t>
  </si>
  <si>
    <t>วัดดีกรีได้</t>
  </si>
  <si>
    <t>ดีกรีที่ได้</t>
  </si>
  <si>
    <t>แม่นยำที่สุดกับสุราที่มีดีกรีช่วง 30-60% ABV</t>
  </si>
  <si>
    <t>ใช้ได้ดีในช่วง 10°C ถึง 35°C หากร้อนหรือเย็นกว่านี้ค่าจะเริ่มแกว่ง</t>
  </si>
  <si>
    <t>สูตรคำนวณ ปรับ ค่าดีกรีแอลกอฮอล์</t>
  </si>
  <si>
    <t>ความกว่างของถัง(cm)</t>
  </si>
  <si>
    <t>ความสูงของน้ำแอลกอฮอล์(cm)</t>
  </si>
  <si>
    <t>ค่าทศนิยมที่แม่นยำกว่า</t>
  </si>
  <si>
    <t>ปริมาณ น้ำแอลกอฮอล์ในถัง(ลิตร)</t>
  </si>
  <si>
    <t>ค่าดีกรีแอลกอฮอล์
ตอนนี้(ดีกรี)</t>
  </si>
  <si>
    <t>ค่าดีกรีแอลกอฮอล์
ที่จะเปลี่ยนเป็น(ดีกรี)</t>
  </si>
  <si>
    <t xml:space="preserve">ปริมาณน้ำแอลกอฮอล์ในถัง
เมื่อเปลี่ยนเป็นตามที่กำหนด(ลิตร)        </t>
  </si>
  <si>
    <t>ปริมาณ น้ำ ที่ต้องเติมลงผสม
ในแอลกอฮอล์เพื่อที่จะได้ ดีกรี ตามที่กำหนด(ลิตร)</t>
  </si>
  <si>
    <t>สูตรคำนวณข้าวหมัก</t>
  </si>
  <si>
    <t>ขนาดถังบรรจุต่อ 1 ถัง(ลิตร)</t>
  </si>
  <si>
    <t>ข้าวสุกหรือธัญพืช(Kg)</t>
  </si>
  <si>
    <t>ข้าวเหนียวดิบ(Kg)</t>
  </si>
  <si>
    <t>ข้าวเจ้าดิบ
(Kg)</t>
  </si>
  <si>
    <t>ความหวาน
ค่าดีกรีก่อนกลั่น(ดีกรี)</t>
  </si>
  <si>
    <t>เครื่องกลั่นที่กลั่นเหล้าออกมาได้กี่ %</t>
  </si>
  <si>
    <t>ดีกรีที่จะทำ
(ดีกรี)</t>
  </si>
  <si>
    <t>น้ำเหล้า
ที่จะได้(ลิตร)</t>
  </si>
  <si>
    <t>น้ำเหล้ามีโอกาสหายเมื่อ
เย็นลง15% (ลิตร)</t>
  </si>
  <si>
    <t>ข้าวสุกหรือธัญพืช 1 Kg 
ใส่น้ำ 1 ลิตร</t>
  </si>
  <si>
    <t>มาตรฐานคือ
28 Bx = 14 ดีกรี</t>
  </si>
  <si>
    <t>ใส่น้ำในถังกี่%</t>
  </si>
  <si>
    <t>คงเหลือ</t>
  </si>
  <si>
    <t>ปริมาณที่
ใช้ต่อ 1 ถัง(ลิตร)</t>
  </si>
  <si>
    <t>ปริมาณน้ำที่ใช้
ต่อ 1 ถัง(ลิตร)</t>
  </si>
  <si>
    <r>
      <rPr>
        <rFont val="Arial"/>
        <b/>
        <color rgb="FFF3F3F3"/>
        <sz val="15.0"/>
      </rPr>
      <t xml:space="preserve">⬆⬆⬆ วัตถุดิบที่ต้องเตรียมก่อนหมักทั้งหมด ลำดับ </t>
    </r>
    <r>
      <rPr>
        <rFont val="Arial"/>
        <b/>
        <color rgb="FFF3F3F3"/>
        <sz val="25.0"/>
      </rPr>
      <t>1</t>
    </r>
    <r>
      <rPr>
        <rFont val="Arial"/>
        <b/>
        <color rgb="FFF3F3F3"/>
        <sz val="15.0"/>
      </rPr>
      <t xml:space="preserve"> ⬆⬆⬆</t>
    </r>
  </si>
  <si>
    <t>ปริมาณโซเดียมเมตาไบซัลไฟต์ต่อ 1 ถัง(กรัม) ⬇</t>
  </si>
  <si>
    <t>ปริมาณน้ำ ต่อ 1 ถัง
ที่ต้องเตรียม(ลิตร) ⬇</t>
  </si>
  <si>
    <t>ข้าวสุกหรือธัญพืช
ต่อ 1 ถัง(Kg) ⬇</t>
  </si>
  <si>
    <t>ข้าวเหนียวดิบหรือธัญพืช
ต่อ 1 ถัง(Kg) ⬇</t>
  </si>
  <si>
    <t>ข้าวเจ้าดิบหรือธัญพืช
ต่อ 1 ถัง(Kg) ⬇</t>
  </si>
  <si>
    <t>ลูกแป้ง
ต่อ1ถัง(กรัม) ⬇</t>
  </si>
  <si>
    <t>เอนไซม์
ต่อ1ถัง(ลิตร) ⬇</t>
  </si>
  <si>
    <t>จำนวนถัง
ทั้งหมด (ถัง)</t>
  </si>
  <si>
    <t>ค่าความหวานก่อนหมัก
ที่วัดได้(Bx)</t>
  </si>
  <si>
    <t>ปริมาณโซเดียมเมตาไบซัลไฟต์
ทั้งหมด(กรัม) ⬇</t>
  </si>
  <si>
    <t>ปริมาณน้ำ
ทั้งหมดที่ต้องเตรียม(ลิตร) ⬇</t>
  </si>
  <si>
    <t>ข้าวสุกหรือธัญพืชทั้งหมด(Kg) ⬇</t>
  </si>
  <si>
    <t>ข้าวเหนียวดิบหรือธัญพืชทั้งหมด(Kg) ⬇</t>
  </si>
  <si>
    <t>ข้าวเจ้าดิบหรือธัญพืชทั้งหมด(Kg) ⬇</t>
  </si>
  <si>
    <t>ลูกแป้ง
ทั้งหมด(กรัม) ⬇</t>
  </si>
  <si>
    <t>เอนไซม์
ทั้งหมด(ลิตร) ⬇</t>
  </si>
  <si>
    <t>สูตรคำนวณข้าว+น้ำตาล</t>
  </si>
  <si>
    <t>ค่าคงที่ต่ออุณหภูมิ</t>
  </si>
  <si>
    <t>อุณหภูมิ</t>
  </si>
  <si>
    <t>ค่าคงที่</t>
  </si>
  <si>
    <t>ข้าวสุกหรือธัญพืช 1 Kg 
ใส่น้ำ 1.2 ลิตร</t>
  </si>
  <si>
    <t>น้ำตาล 1 Kg ใส่น้ำ 3 ลิตร</t>
  </si>
  <si>
    <t>25°C ขึ้นไป</t>
  </si>
  <si>
    <t>22°C ลงไป</t>
  </si>
  <si>
    <t>20°C ลงไป</t>
  </si>
  <si>
    <t>ปริมาณน้ำที่
ใช้ต่อ 1 ถัง(ลิตร)</t>
  </si>
  <si>
    <t>ปริมาณน้ำที่ใช้
ทั้งหมด(ลิตร)</t>
  </si>
  <si>
    <r>
      <rPr>
        <rFont val="Arial"/>
        <b/>
        <color rgb="FFF3F3F3"/>
        <sz val="15.0"/>
      </rPr>
      <t xml:space="preserve">⬆⬆⬆ วัตถุดิบที่ต้องเตรียมก่อนหมักทั้งหมด ลำดับ </t>
    </r>
    <r>
      <rPr>
        <rFont val="Arial"/>
        <b/>
        <color rgb="FFF3F3F3"/>
        <sz val="25.0"/>
      </rPr>
      <t>1</t>
    </r>
    <r>
      <rPr>
        <rFont val="Arial"/>
        <b/>
        <color rgb="FFF3F3F3"/>
        <sz val="15.0"/>
      </rPr>
      <t xml:space="preserve"> ⬆⬆⬆</t>
    </r>
  </si>
  <si>
    <t>น้ำตาล
ต่อ 1 ถัง(Kg) ⬇</t>
  </si>
  <si>
    <t>ยีสต์
ต่อ1ถัง(กรัม) ⬇</t>
  </si>
  <si>
    <t>น้ำตาล
ทั้งหมด(Kg) ⬇</t>
  </si>
  <si>
    <t>ยีสต์
ทั้งหมด(กรัม) ⬇</t>
  </si>
  <si>
    <t>สูตรคำนวณใส่น้ำผลไม้ + ข้าวหรือธัญพืช</t>
  </si>
  <si>
    <t>น้ำเหล้ามีโอกาสหายเมื่อ
เย็นลง 15% (ลิตร)</t>
  </si>
  <si>
    <t>มาตรฐานคือ 28 Bx</t>
  </si>
  <si>
    <t>ปริมาณน้ำเปล่า
ที่ใส่ต่อ 1 ถัง(ลิตร)</t>
  </si>
  <si>
    <t>น้ำผลไม้ต่อ 1 ถัง
รวมกาก(ลิตร)</t>
  </si>
  <si>
    <t>ค่าความหวานที่
ต้องเติมเเพิ่ม(Bx)</t>
  </si>
  <si>
    <t>ค่าความหวานที่
ได้จากวัตถุดิบ(Bx)</t>
  </si>
  <si>
    <t>เพิ่มความหวานจากวัตถุดิบ</t>
  </si>
  <si>
    <t>ปริมาณวัตถุดิบ
ความหวาน
ที่ต้องเพิ่ม(ลิตร)</t>
  </si>
  <si>
    <t>ปริมาณวัตถุดิบ
ความหวาน
ที่ต้องเพิ่ม(ml)</t>
  </si>
  <si>
    <t>ชื่อวัตถุดิบ</t>
  </si>
  <si>
    <t>ปริมาณ</t>
  </si>
  <si>
    <t>หน่วย</t>
  </si>
  <si>
    <t>น้ำผลไม้ ทั้งหมด
รวมกาก(ลิตร)</t>
  </si>
  <si>
    <t>ค่าความหวานที่อยากได้
จากผลไม้(Bx)</t>
  </si>
  <si>
    <t>ค่าความหวานก่อนหมัก
ที่ได้จากข้าว(Bx)</t>
  </si>
  <si>
    <t>กาก ผลไม้ (%)</t>
  </si>
  <si>
    <t>ค่าความหวานที่ได้
จากน้ำผลไม้(ฺBx)</t>
  </si>
  <si>
    <r>
      <rPr>
        <rFont val="Arial"/>
        <b/>
        <color rgb="FFF3F3F3"/>
        <sz val="15.0"/>
      </rPr>
      <t xml:space="preserve">⬆⬆⬆ วัตถุดิบที่ต้องเตรียมก่อนหมักทั้งหมด ลำดับ </t>
    </r>
    <r>
      <rPr>
        <rFont val="Arial"/>
        <b/>
        <color rgb="FFF3F3F3"/>
        <sz val="25.0"/>
      </rPr>
      <t>1</t>
    </r>
    <r>
      <rPr>
        <rFont val="Arial"/>
        <b/>
        <color rgb="FFF3F3F3"/>
        <sz val="15.0"/>
      </rPr>
      <t xml:space="preserve"> ⬆⬆⬆</t>
    </r>
  </si>
  <si>
    <t>ปริมาณโซเดียมเมตาไบซัลไฟต์
ต่อ 1 ถัง(กรัม) ⬇</t>
  </si>
  <si>
    <t>ปริมาณน้ำเปล่า
ต่อ 1 ถัง ที่ต้องเตรียม(ลิตร) ⬇</t>
  </si>
  <si>
    <t>ปริมาณน้ำผลไม้ต่อ
1 ถัง ที่ต้องเตรียม(ลิตร) ⬇</t>
  </si>
  <si>
    <t>เพิ่มปริมาณวัตถุดิบ
ความหวาน ต่อ 1 ถัง (ลิตร) ⬇</t>
  </si>
  <si>
    <t>ข้าวสุกหรือธัญพืช ต่อ 1 ถัง (Kg) ⬇</t>
  </si>
  <si>
    <t>ข้าวเเหนียวดิบหรือธัญพืช
ต่อ 1 ถัง (Kg) ⬇</t>
  </si>
  <si>
    <t>ข้าวเจ้าดิบหรือธัญพืช
ต่อ 1 ถัง (Kg) ⬇</t>
  </si>
  <si>
    <t>ลูกแป้ง
ต่อ 1 ถัง(กรัม) ⬇</t>
  </si>
  <si>
    <t>ปริมาณน้ำเปล่า
ทั้งหมดที่ต้องเตรียม(ลิตร) ⬇</t>
  </si>
  <si>
    <t>ปริมาณน้ำผลไม้
ทั้งหมดที่ต้องเตรียม(ลิตร) ⬇</t>
  </si>
  <si>
    <t>ข้าวหนียวดิบหรือธัญพืชทั้งหมด(Kg) ⬇</t>
  </si>
  <si>
    <t>น้ำตาลทั้งหมด(Kg) ⬇</t>
  </si>
  <si>
    <t>ยีสต์
ต่อ 1 ถัง(กรัม) ⬇</t>
  </si>
  <si>
    <t>เอนไซม์
ต่อ 1 ถัง(ลิตร) ⬇</t>
  </si>
  <si>
    <t>ชื้อผลไม้</t>
  </si>
  <si>
    <t>ผลไม้ที่ใช้ต่อ 1 ถัง(Kg)</t>
  </si>
  <si>
    <t>ผลไม้ที่ใช้ทั้งหมด(Kg)</t>
  </si>
  <si>
    <t>สูตรคำนวณใส่น้ำผลไม้</t>
  </si>
  <si>
    <t>น้ำตาล(Kg)
น้ำตาล 1 Kg ใส่น้ำ 3 ลิตร</t>
  </si>
  <si>
    <t>เครื่องกลั่นที่กลั่นเหล้า
ออกมาได้กี่ %</t>
  </si>
  <si>
    <t>น้ำผลไม้ ทั้งหมดที่มี
รวมกาก(ลิตร)</t>
  </si>
  <si>
    <t>ความหวาน
ค่าดีกรีก่อนกลั่น(ดีกรี)
มาตรฐานคือ 28 Bx</t>
  </si>
  <si>
    <t>ค่าความหวานที่ได้
จากน้ำผลไม้(Bx)</t>
  </si>
  <si>
    <t>ผลไม้ที่ใช้ต่อ 1 ถัง</t>
  </si>
  <si>
    <r>
      <rPr>
        <rFont val="Arial"/>
        <b/>
        <color rgb="FFF3F3F3"/>
        <sz val="15.0"/>
      </rPr>
      <t xml:space="preserve">⬆⬆⬆ วัตถุดิบที่ต้องเตรียมก่อนหมักทั้งหมด ลำดับ </t>
    </r>
    <r>
      <rPr>
        <rFont val="Arial"/>
        <b/>
        <color rgb="FFF3F3F3"/>
        <sz val="25.0"/>
      </rPr>
      <t>1</t>
    </r>
    <r>
      <rPr>
        <rFont val="Arial"/>
        <b/>
        <color rgb="FFF3F3F3"/>
        <sz val="15.0"/>
      </rPr>
      <t xml:space="preserve"> ⬆⬆⬆</t>
    </r>
  </si>
  <si>
    <t>ผลไม้ที่ใช้ทั้งหมด</t>
  </si>
  <si>
    <t>สูตรทำแอลกอฮอล์</t>
  </si>
  <si>
    <t>วัน/เดือน/ปี</t>
  </si>
  <si>
    <t>อุณหภูมิ
วัน(°C)</t>
  </si>
  <si>
    <t xml:space="preserve"> อุณหภูมิ
ถัง(°C)</t>
  </si>
  <si>
    <t>วัตถุดิบ</t>
  </si>
  <si>
    <t>วัตถุดิบเพิ่ม
เติมหลังกลั่น</t>
  </si>
  <si>
    <t>ปริมาณน้ำ
ทั้งหมด(ลิตร)</t>
  </si>
  <si>
    <t>ปริมาณ
การกลั่น(ลิตร)</t>
  </si>
  <si>
    <t>ดีกรี
แอลกอฮอล์</t>
  </si>
  <si>
    <t>ต้นทุน
วัตถุดิบ(บาท)</t>
  </si>
  <si>
    <t>ต้นทุน
บรรจุภัณฑ์
(บาท)</t>
  </si>
  <si>
    <t>ขนาด
บรรจุภัณฑ์
(ลิตร)</t>
  </si>
  <si>
    <t>ราคาขาย
(บาท)</t>
  </si>
  <si>
    <t>ราคา(บาท)</t>
  </si>
  <si>
    <t>โซเดียมเมตาไบซัลไฟ</t>
  </si>
  <si>
    <t>กรัม</t>
  </si>
  <si>
    <t>สูงสุด(°C)</t>
  </si>
  <si>
    <t>ยีสต์</t>
  </si>
  <si>
    <t>ลูกแป้ง</t>
  </si>
  <si>
    <t>เอนไซม์</t>
  </si>
  <si>
    <t>ลิตร</t>
  </si>
  <si>
    <t>น้ำตาลทรายแดง</t>
  </si>
  <si>
    <t>Kg</t>
  </si>
  <si>
    <t>ขั้นตอนการทำหมักแอลกอฮอล์</t>
  </si>
  <si>
    <t>ลำดับ</t>
  </si>
  <si>
    <t>ขั้นตอน</t>
  </si>
  <si>
    <t>ทำเสร็จ</t>
  </si>
  <si>
    <t>ถ้าป็นผลไม้หรือน้ำอ้อยควร ต้ม ก่อนนำไปหมักสมอ</t>
  </si>
  <si>
    <t>เตรียมถังหมัก</t>
  </si>
  <si>
    <t>ใส่ โซเดียมเมตาไบซัลไฟต์ ในถังหมัก</t>
  </si>
  <si>
    <t>ใส่ น้ำ ตามปริมาณน้ำที่กำหนด</t>
  </si>
  <si>
    <t>ใส่ น้ำตาล ตามปริมาณที่กำหนด</t>
  </si>
  <si>
    <t>คนให้ละลายจนหมด</t>
  </si>
  <si>
    <t>ตรวจสอบอุณหภูมิน้ำ ปกติ 22-25°C ร้อนเกินไป 25-28°C</t>
  </si>
  <si>
    <r>
      <rPr>
        <rFont val="Arial"/>
        <color rgb="FFF3F3F3"/>
        <sz val="15.0"/>
      </rPr>
      <t xml:space="preserve">ใส่ ข้าวสุกใหม่ หรือ ธัญพืชอื่น  </t>
    </r>
    <r>
      <rPr>
        <rFont val="Arial"/>
        <color rgb="FFFF9900"/>
        <sz val="15.0"/>
      </rPr>
      <t>ล้างข้าวหรือธัญพืชก่อนนึ่งทุกครั้ง</t>
    </r>
  </si>
  <si>
    <t>ตรวจสอบอุณหภูมิน้ำ หลังใส่ข้าวสุก อุณหภูมิน้ำจะเพิ่มขึ้นชั่วคราวประมาณ 3-4°C อุณหภูมิไม่ควนเกิน 32°C</t>
  </si>
  <si>
    <t>ใส่ ลูกแป้ง ตามปริมาณที่กำหนด</t>
  </si>
  <si>
    <t>ใส่ ยีสต์ ตามปริมาณที่กำหนด</t>
  </si>
  <si>
    <t>ใส่ เอนไซม์  ตามปริมาณที่กำหนด</t>
  </si>
  <si>
    <t>คนให้เข้ากัน</t>
  </si>
  <si>
    <t>เช็คความวานของน้ำก่อนหมัก</t>
  </si>
  <si>
    <t>วันที่ 1 ใช้ผ้าปิดคุมฝาใว้ ไม่ควรปิดสนิท</t>
  </si>
  <si>
    <t>วันที่ 2 ใช้ถุงปิดฝาให้สนิด</t>
  </si>
  <si>
    <t>หมักจนครบ 15 - 20 วัน</t>
  </si>
  <si>
    <t>เช็คความวานของน้ำหมัก</t>
  </si>
  <si>
    <t>หากต้องการรสชาติและกลิ่นที่ กลมกล่อมหอม ให้กรองกากออกให้เหลือแค่น้ำใว้อีก 1-5 วัน</t>
  </si>
  <si>
    <t>ทำการกลั่น</t>
  </si>
  <si>
    <t>ใช้ไฟกลาง 20-30 นาที</t>
  </si>
  <si>
    <t>เร่งไฟแรง อุณหภูมิอยู่ที่ 70-90°C</t>
  </si>
  <si>
    <t>น้ำแอลกอฮอล์ แรกให้เอาออก น้ำหมัก 100 ลิตร ให้เอาน้ำแอลกอฮอล์แรกออก 100cc</t>
  </si>
  <si>
    <t>พอแอลกอฮอล์ถึง 50 ดีกรีแล้วเบาไฟลงใช้ไฟกลาง</t>
  </si>
  <si>
    <t>พอแอลกอฮอล์ถึง 40-30 ดีกรีแล้วปิดไฟ</t>
  </si>
  <si>
    <t>เสร็จการกลั่น</t>
  </si>
  <si>
    <t>ปรับ ค่าดีกรีแอลกอฮอล์ เติมน้ำเพื่อปรับค่าแอลกอฮอล์</t>
  </si>
  <si>
    <t>พักให้แอลกอฮอล์เย็นตัวลง 1-3 วันหรือให้เป็นอุณหภูมิห้อง</t>
  </si>
  <si>
    <t>ทำการกรองแอลกอฮอล์ 1 - 2 รอบ</t>
  </si>
  <si>
    <t>พักแอลกอฮอล์ ใว้ 3 - 5 วันแล้วค่อนำมาขาย50% ของแอลกอฮอล์ที่
ผลิดได้ แล้วผลิดใหม่แล้วนำมาผสมกับแอลกอฮอล์เก่าที่เเก็บใว้ทำให้รสชาติกลิ่นคงที่</t>
  </si>
  <si>
    <t>แล้วผลิดใหม่ แล้วนำมาผสมกับแอลกอฮอล์เก่าที่เเก็บใว้ทำให้รสชาติกลิ่นคงที่</t>
  </si>
  <si>
    <t>ตารางกลิ่นและรสชาติของวัตถุดิบ</t>
  </si>
  <si>
    <t>รสชาติ</t>
  </si>
  <si>
    <t>กลิ่น</t>
  </si>
  <si>
    <t>ข้าวเหนียว</t>
  </si>
  <si>
    <t>- นุ่มละมุน
- หวานธรรมชาติ
- ดื่มง่าย</t>
  </si>
  <si>
    <t>- กลิ่นข้าวสุกอ่อน</t>
  </si>
  <si>
    <t>ข้าวเจ้า</t>
  </si>
  <si>
    <t>- สะอาด
- บิดี้บางกว่าข้าวเหนียว</t>
  </si>
  <si>
    <t>- กลิ่ิ่นข้าวสุกหอมอ่อนๆ</t>
  </si>
  <si>
    <t>ข้าวโพด</t>
  </si>
  <si>
    <t>- หวาน</t>
  </si>
  <si>
    <t>- กลิ่นเนยอ่อน
- กลิ่นข้าวโพดติดปลายแอลกฮอล์</t>
  </si>
  <si>
    <t>ข้าวบาร์เลย์</t>
  </si>
  <si>
    <t>- มัน คล้ายถั่ว
- ขมนิดๆ ตอนปลาย</t>
  </si>
  <si>
    <t>- กลิ่นธัญพืชคั่ว
- กลิ่นมอลต์โดยเฉพาะบาร์เลย์งอกจะให้กลิ่นมอลต์ชัดมาก</t>
  </si>
  <si>
    <t>ข้าวสาลี</t>
  </si>
  <si>
    <t>- นุ่ม
- ครีมมี่กลิ่นแอลกอฮอล์ต่ำ</t>
  </si>
  <si>
    <t>- กลิ่นแป้งขนมปังอบอ่อนๆ</t>
  </si>
  <si>
    <t>ข้าวฟ่างแดง</t>
  </si>
  <si>
    <t xml:space="preserve">- มัน แบบเปลือกถั่วผสมความเปรี้ยวคล้ายผลไม้
</t>
  </si>
  <si>
    <t>- กลิ่นสับปะรด
- กลิ่นหมักคล้ายเต้าเจี้ยวหมัก</t>
  </si>
  <si>
    <t>ข้าวหอมมะลิ</t>
  </si>
  <si>
    <t>- รสชาติที่นุ่มนวลและไม่ทำให้เกิดอาการแฮ้งค์</t>
  </si>
  <si>
    <t>- หอมข้าวหอมมะลิ ละมุนกว่าข้าวชนิดอื่น</t>
  </si>
  <si>
    <t>มันสำปะหลัง</t>
  </si>
  <si>
    <t>- สะอาด เป็นกลาง</t>
  </si>
  <si>
    <t>- กลิ่นดินและแป้งอ่อน</t>
  </si>
  <si>
    <t>ความหวาน</t>
  </si>
  <si>
    <t>น้ำอ้อย</t>
  </si>
  <si>
    <t>- หวานสด สดชื่น</t>
  </si>
  <si>
    <t>- กลิ่นหญ่าอ้อย</t>
  </si>
  <si>
    <t>กากน้ำตาล</t>
  </si>
  <si>
    <t>- หวานเข้ม
- หนัก
- ขมหวานแบบน้ำตาลดำ</t>
  </si>
  <si>
    <t>- คาราเมล
- ทอฟฟี่
- สโสมกกี้</t>
  </si>
  <si>
    <t>คาราเเมลไซรัป</t>
  </si>
  <si>
    <t>- หวานเข้ม
- มีรสไหม้เล็กน้อย</t>
  </si>
  <si>
    <t>น้ำตาลทราบขาว</t>
  </si>
  <si>
    <t>- หวานสะอาบเรียบง่าย</t>
  </si>
  <si>
    <t>น้ำตาลทรายไม่ฟอก</t>
  </si>
  <si>
    <t>- หวานลึก
- คาราเมล
- กาแฟ
- ชะเอม</t>
  </si>
  <si>
    <t>- น้ำตาลดำ
- คาราเมล
- สโมกกี้</t>
  </si>
  <si>
    <t>น้ำผึ่ง</t>
  </si>
  <si>
    <t>- หวานธรรมชาติ แตกต่างตามชนิดดอกไม้</t>
  </si>
  <si>
    <t>- ดอกไม้
- ผลไม้
- ขี้ผึ่ง</t>
  </si>
  <si>
    <t>หมักผลไม้ทำแอลกอฮอล์</t>
  </si>
  <si>
    <t>- ผลไม้จับคู่เพื่อเน้นรสชาติและกลิ่นเฉพาะ นุ่ม หวานอ่อน</t>
  </si>
  <si>
    <t>- วัตถุดิบ ข้าวเหนียว ข้าวสาลี
- หมักที่อุณหภูมิต่ำ 18 - 22°C</t>
  </si>
  <si>
    <t>-ยัสต์หมัก เอสเทอร์ต่ำ</t>
  </si>
  <si>
    <t>หมักธัญพืชคั่วทำแอลกอฮอล์</t>
  </si>
  <si>
    <t>- บอดี้หนัก กลิ่นลึก</t>
  </si>
  <si>
    <t>- วัตถุดิบ ข้าวบาร์เเลย์ ข้าวเจ้า ข้าวโพด</t>
  </si>
  <si>
    <t>- หมักที่อุณหภูมิต่ำ 24 - 30°C
-ยัสต์หมัก เอสเทอร์สูง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</si>
</sst>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#,##0 ลิตร"/>
    <numFmt numFmtId="165" formatCode="#,##0.0 ลิตร"/>
    <numFmt numFmtId="166" formatCode="#,##0.00 ลิตร"/>
    <numFmt numFmtId="167" formatCode="#,##0.0 กรัม"/>
    <numFmt numFmtId="168" formatCode="#,##0 กรัม"/>
    <numFmt numFmtId="169" formatCode="#,##0 Kg"/>
    <numFmt numFmtId="170" formatCode="#,##0.0 Kg"/>
    <numFmt numFmtId="171" formatCode="#,##0 °C"/>
    <numFmt numFmtId="172" formatCode="#,##0 ดีกรี"/>
    <numFmt numFmtId="173" formatCode="#,##0.00[$ cm]"/>
    <numFmt numFmtId="174" formatCode="#,##0.0 ดีกรี"/>
    <numFmt numFmtId="175" formatCode="#,##0 Bx"/>
    <numFmt numFmtId="176" formatCode="0.0"/>
    <numFmt numFmtId="177" formatCode="#,##0[$ ml]"/>
    <numFmt numFmtId="178" formatCode="#,##0.00 Kg"/>
    <numFmt numFmtId="179" formatCode="#,##0 %"/>
    <numFmt numFmtId="180" formatCode="#,##0.0"/>
    <numFmt numFmtId="181" formatCode="dd/mm/yyyy"/>
    <numFmt numFmtId="182" formatCode="#,##0.00 °C"/>
    <numFmt numFmtId="183" formatCode="#,##0.00[$ ฿]"/>
    <numFmt numFmtId="184" formatCode="#,##0[$ ฿]"/>
    <numFmt numFmtId="185" formatCode="d/M/yyyy"/>
  </numFmts>
  <fonts count="26">
    <font>
      <sz val="10.0"/>
      <color rgb="FF000000"/>
      <name val="Arial"/>
      <scheme val="minor"/>
    </font>
    <font>
      <color theme="1"/>
      <name val="Arial"/>
    </font>
    <font>
      <b/>
      <sz val="16.0"/>
      <color rgb="FFF3F3F3"/>
      <name val="Arial"/>
    </font>
    <font>
      <b/>
      <sz val="14.0"/>
      <color rgb="FFF3F3F3"/>
      <name val="Arial"/>
    </font>
    <font>
      <b/>
      <sz val="15.0"/>
      <color rgb="FF00FF00"/>
      <name val="Arial"/>
    </font>
    <font>
      <b/>
      <sz val="15.0"/>
      <color theme="1"/>
      <name val="Arial"/>
    </font>
    <font>
      <sz val="15.0"/>
      <color rgb="FFF3F3F3"/>
      <name val="Arial"/>
    </font>
    <font>
      <b/>
      <sz val="15.0"/>
      <color rgb="FFF3F3F3"/>
      <name val="Arial"/>
    </font>
    <font>
      <sz val="14.0"/>
      <color rgb="FFF3F3F3"/>
      <name val="Arial"/>
    </font>
    <font>
      <sz val="14.0"/>
      <color theme="1"/>
      <name val="Arial"/>
    </font>
    <font/>
    <font>
      <b/>
      <sz val="20.0"/>
      <color rgb="FF00FF00"/>
      <name val="Arial"/>
    </font>
    <font>
      <b/>
      <sz val="20.0"/>
      <color rgb="FFF3F3F3"/>
      <name val="Arial"/>
    </font>
    <font>
      <b/>
      <sz val="20.0"/>
      <color theme="1"/>
      <name val="Arial"/>
    </font>
    <font>
      <sz val="20.0"/>
      <color rgb="FFF3F3F3"/>
      <name val="Arial"/>
    </font>
    <font>
      <b/>
      <sz val="14.0"/>
      <color rgb="FF00FF00"/>
      <name val="Arial"/>
    </font>
    <font>
      <b/>
      <sz val="14.0"/>
      <color rgb="FFFFFFFF"/>
      <name val="Arial"/>
    </font>
    <font>
      <b/>
      <sz val="15.0"/>
      <color rgb="FF000000"/>
      <name val="Arial"/>
    </font>
    <font>
      <sz val="13.0"/>
      <color theme="1"/>
      <name val="Arial"/>
    </font>
    <font>
      <b/>
      <sz val="18.0"/>
      <color rgb="FF00FF00"/>
      <name val="Arial"/>
    </font>
    <font>
      <b/>
      <sz val="18.0"/>
      <color rgb="FFF3F3F3"/>
      <name val="Arial"/>
    </font>
    <font>
      <b/>
      <sz val="14.0"/>
      <color theme="1"/>
      <name val="Arial"/>
    </font>
    <font>
      <b/>
      <sz val="20.0"/>
      <color rgb="FF000000"/>
      <name val="Arial"/>
    </font>
    <font>
      <b/>
      <sz val="18.0"/>
      <color theme="1"/>
      <name val="Arial"/>
    </font>
    <font>
      <b/>
      <sz val="16.0"/>
      <color theme="1"/>
      <name val="Arial"/>
    </font>
    <font>
      <sz val="14.0"/>
      <color rgb="FF00FF00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6D9EEB"/>
        <bgColor rgb="FF6D9EEB"/>
      </patternFill>
    </fill>
    <fill>
      <patternFill patternType="solid">
        <fgColor theme="8"/>
        <bgColor theme="8"/>
      </patternFill>
    </fill>
    <fill>
      <patternFill patternType="solid">
        <fgColor rgb="FF7F6000"/>
        <bgColor rgb="FF7F6000"/>
      </patternFill>
    </fill>
    <fill>
      <patternFill patternType="solid">
        <fgColor rgb="FFE69138"/>
        <bgColor rgb="FFE69138"/>
      </patternFill>
    </fill>
    <fill>
      <patternFill patternType="solid">
        <fgColor rgb="FF1C4587"/>
        <bgColor rgb="FF1C4587"/>
      </patternFill>
    </fill>
    <fill>
      <patternFill patternType="solid">
        <fgColor rgb="FF8E7CC3"/>
        <bgColor rgb="FF8E7CC3"/>
      </patternFill>
    </fill>
    <fill>
      <patternFill patternType="solid">
        <fgColor rgb="FF9A530A"/>
        <bgColor rgb="FF9A530A"/>
      </patternFill>
    </fill>
    <fill>
      <patternFill patternType="solid">
        <fgColor rgb="FF783F04"/>
        <bgColor rgb="FF783F04"/>
      </patternFill>
    </fill>
    <fill>
      <patternFill patternType="solid">
        <fgColor rgb="FF20124D"/>
        <bgColor rgb="FF20124D"/>
      </patternFill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990000"/>
        <bgColor rgb="FF990000"/>
      </patternFill>
    </fill>
    <fill>
      <patternFill patternType="solid">
        <fgColor rgb="FF85200C"/>
        <bgColor rgb="FF85200C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4285F4"/>
        <bgColor rgb="FF4285F4"/>
      </patternFill>
    </fill>
    <fill>
      <patternFill patternType="solid">
        <fgColor rgb="FFCC0000"/>
        <bgColor rgb="FFCC0000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00FF"/>
        <bgColor rgb="FF0000FF"/>
      </patternFill>
    </fill>
    <fill>
      <patternFill patternType="solid">
        <fgColor rgb="FF6FA8DC"/>
        <bgColor rgb="FF6FA8DC"/>
      </patternFill>
    </fill>
  </fills>
  <borders count="21">
    <border/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</border>
    <border>
      <left style="medium">
        <color rgb="FFFFFFFF"/>
      </lef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top style="medium">
        <color rgb="FF351C75"/>
      </top>
      <bottom style="medium">
        <color rgb="FF351C75"/>
      </bottom>
    </border>
    <border>
      <bottom style="medium">
        <color rgb="FF351C75"/>
      </bottom>
    </border>
    <border>
      <top style="medium">
        <color rgb="FF351C75"/>
      </top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4" fontId="4" numFmtId="165" xfId="0" applyAlignment="1" applyFont="1" applyNumberFormat="1">
      <alignment horizontal="center" shrinkToFit="0" vertical="center" wrapText="1"/>
    </xf>
    <xf borderId="0" fillId="4" fontId="3" numFmtId="166" xfId="0" applyAlignment="1" applyFont="1" applyNumberFormat="1">
      <alignment horizontal="center" shrinkToFit="0" vertical="center" wrapText="1"/>
    </xf>
    <xf borderId="0" fillId="4" fontId="4" numFmtId="167" xfId="0" applyAlignment="1" applyFont="1" applyNumberFormat="1">
      <alignment horizontal="center" shrinkToFit="0" vertical="center" wrapText="1"/>
    </xf>
    <xf borderId="0" fillId="4" fontId="3" numFmtId="168" xfId="0" applyAlignment="1" applyFont="1" applyNumberFormat="1">
      <alignment horizontal="center" shrinkToFit="0" vertical="center" wrapText="1"/>
    </xf>
    <xf borderId="0" fillId="5" fontId="3" numFmtId="168" xfId="0" applyAlignment="1" applyFill="1" applyFont="1" applyNumberFormat="1">
      <alignment horizontal="center" shrinkToFit="0" vertical="center" wrapText="1"/>
    </xf>
    <xf borderId="0" fillId="6" fontId="3" numFmtId="168" xfId="0" applyAlignment="1" applyFill="1" applyFont="1" applyNumberFormat="1">
      <alignment horizontal="center" shrinkToFit="0" vertical="center" wrapText="1"/>
    </xf>
    <xf borderId="0" fillId="7" fontId="5" numFmtId="164" xfId="0" applyAlignment="1" applyFill="1" applyFont="1" applyNumberFormat="1">
      <alignment horizontal="center" shrinkToFit="0" vertical="center" wrapText="1"/>
    </xf>
    <xf borderId="0" fillId="8" fontId="4" numFmtId="165" xfId="0" applyAlignment="1" applyFill="1" applyFont="1" applyNumberFormat="1">
      <alignment horizontal="center" shrinkToFit="0" vertical="center" wrapText="1"/>
    </xf>
    <xf borderId="0" fillId="4" fontId="3" numFmtId="169" xfId="0" applyAlignment="1" applyFont="1" applyNumberFormat="1">
      <alignment horizontal="center" shrinkToFit="0" vertical="center" wrapText="1"/>
    </xf>
    <xf borderId="0" fillId="4" fontId="4" numFmtId="170" xfId="0" applyAlignment="1" applyFont="1" applyNumberForma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9" fontId="8" numFmtId="0" xfId="0" applyAlignment="1" applyFill="1" applyFont="1">
      <alignment horizontal="center" shrinkToFit="0" vertical="center" wrapText="1"/>
    </xf>
    <xf borderId="0" fillId="7" fontId="5" numFmtId="171" xfId="0" applyAlignment="1" applyFont="1" applyNumberFormat="1">
      <alignment horizontal="center" vertical="center"/>
    </xf>
    <xf borderId="0" fillId="7" fontId="5" numFmtId="172" xfId="0" applyAlignment="1" applyFont="1" applyNumberFormat="1">
      <alignment horizontal="center" vertical="center"/>
    </xf>
    <xf borderId="0" fillId="10" fontId="4" numFmtId="172" xfId="0" applyAlignment="1" applyFill="1" applyFont="1" applyNumberForma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7" fontId="5" numFmtId="173" xfId="0" applyAlignment="1" applyFont="1" applyNumberForma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0" fillId="7" fontId="5" numFmtId="174" xfId="0" applyAlignment="1" applyFont="1" applyNumberFormat="1">
      <alignment horizontal="center" vertical="center"/>
    </xf>
    <xf borderId="0" fillId="7" fontId="5" numFmtId="174" xfId="0" applyAlignment="1" applyFont="1" applyNumberFormat="1">
      <alignment horizontal="center" shrinkToFit="0" vertical="center" wrapText="1"/>
    </xf>
    <xf borderId="0" fillId="11" fontId="7" numFmtId="0" xfId="0" applyAlignment="1" applyFill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2" fillId="0" fontId="10" numFmtId="0" xfId="0" applyBorder="1" applyFont="1"/>
    <xf borderId="2" fillId="3" fontId="3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4" fillId="12" fontId="3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4" fillId="3" fontId="3" numFmtId="0" xfId="0" applyAlignment="1" applyBorder="1" applyFont="1">
      <alignment horizontal="center" shrinkToFit="0" vertical="center" wrapText="1"/>
    </xf>
    <xf borderId="4" fillId="13" fontId="11" numFmtId="170" xfId="0" applyAlignment="1" applyBorder="1" applyFill="1" applyFont="1" applyNumberFormat="1">
      <alignment horizontal="center" shrinkToFit="0" vertical="center" wrapText="1"/>
    </xf>
    <xf borderId="0" fillId="4" fontId="12" numFmtId="170" xfId="0" applyAlignment="1" applyFont="1" applyNumberFormat="1">
      <alignment horizontal="center" shrinkToFit="0" vertical="center" wrapText="1"/>
    </xf>
    <xf borderId="4" fillId="4" fontId="12" numFmtId="172" xfId="0" applyAlignment="1" applyBorder="1" applyFont="1" applyNumberFormat="1">
      <alignment horizontal="center" shrinkToFit="0" vertical="center" wrapText="1"/>
    </xf>
    <xf borderId="0" fillId="7" fontId="13" numFmtId="9" xfId="0" applyAlignment="1" applyFont="1" applyNumberFormat="1">
      <alignment horizontal="center" shrinkToFit="0" vertical="center" wrapText="1"/>
    </xf>
    <xf borderId="0" fillId="7" fontId="13" numFmtId="172" xfId="0" applyAlignment="1" applyFont="1" applyNumberFormat="1">
      <alignment horizontal="center" shrinkToFit="0" vertical="center" wrapText="1"/>
    </xf>
    <xf borderId="0" fillId="4" fontId="14" numFmtId="166" xfId="0" applyAlignment="1" applyFont="1" applyNumberFormat="1">
      <alignment horizontal="center" shrinkToFit="0" vertical="center" wrapText="1"/>
    </xf>
    <xf borderId="4" fillId="0" fontId="10" numFmtId="0" xfId="0" applyBorder="1" applyFont="1"/>
    <xf borderId="0" fillId="7" fontId="5" numFmtId="9" xfId="0" applyAlignment="1" applyFont="1" applyNumberFormat="1">
      <alignment horizontal="center" shrinkToFit="0" vertical="center" wrapText="1"/>
    </xf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7" fillId="4" fontId="3" numFmtId="166" xfId="0" applyAlignment="1" applyBorder="1" applyFont="1" applyNumberFormat="1">
      <alignment horizontal="center" shrinkToFit="0" vertical="center" wrapText="1"/>
    </xf>
    <xf borderId="0" fillId="14" fontId="3" numFmtId="0" xfId="0" applyAlignment="1" applyFill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0" fillId="4" fontId="4" numFmtId="164" xfId="0" applyAlignment="1" applyFont="1" applyNumberFormat="1">
      <alignment horizontal="center" shrinkToFit="0" vertical="center" wrapText="1"/>
    </xf>
    <xf borderId="0" fillId="4" fontId="4" numFmtId="166" xfId="0" applyAlignment="1" applyFont="1" applyNumberFormat="1">
      <alignment horizontal="center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0" fillId="8" fontId="3" numFmtId="0" xfId="0" applyAlignment="1" applyFont="1">
      <alignment horizontal="center" shrinkToFit="0" vertical="center" wrapText="1"/>
    </xf>
    <xf borderId="5" fillId="8" fontId="3" numFmtId="0" xfId="0" applyAlignment="1" applyBorder="1" applyFont="1">
      <alignment horizontal="center" shrinkToFit="0" vertical="center" wrapText="1"/>
    </xf>
    <xf borderId="4" fillId="15" fontId="4" numFmtId="167" xfId="0" applyAlignment="1" applyBorder="1" applyFill="1" applyFont="1" applyNumberFormat="1">
      <alignment horizontal="center" shrinkToFit="0" vertical="center" wrapText="1"/>
    </xf>
    <xf borderId="0" fillId="15" fontId="4" numFmtId="164" xfId="0" applyAlignment="1" applyFont="1" applyNumberFormat="1">
      <alignment horizontal="center" shrinkToFit="0" vertical="center" wrapText="1"/>
    </xf>
    <xf borderId="0" fillId="15" fontId="4" numFmtId="170" xfId="0" applyAlignment="1" applyFont="1" applyNumberFormat="1">
      <alignment horizontal="center" shrinkToFit="0" vertical="center" wrapText="1"/>
    </xf>
    <xf borderId="0" fillId="15" fontId="4" numFmtId="167" xfId="0" applyAlignment="1" applyFont="1" applyNumberFormat="1">
      <alignment horizontal="center" shrinkToFit="0" vertical="center" wrapText="1"/>
    </xf>
    <xf borderId="5" fillId="15" fontId="4" numFmtId="165" xfId="0" applyAlignment="1" applyBorder="1" applyFont="1" applyNumberFormat="1">
      <alignment horizontal="center" shrinkToFit="0" vertical="center" wrapText="1"/>
    </xf>
    <xf borderId="0" fillId="7" fontId="5" numFmtId="175" xfId="0" applyAlignment="1" applyFont="1" applyNumberFormat="1">
      <alignment horizontal="center" shrinkToFit="0" vertical="center" wrapText="1"/>
    </xf>
    <xf borderId="6" fillId="15" fontId="4" numFmtId="167" xfId="0" applyAlignment="1" applyBorder="1" applyFont="1" applyNumberFormat="1">
      <alignment horizontal="center" shrinkToFit="0" vertical="center" wrapText="1"/>
    </xf>
    <xf borderId="7" fillId="15" fontId="4" numFmtId="164" xfId="0" applyAlignment="1" applyBorder="1" applyFont="1" applyNumberFormat="1">
      <alignment horizontal="center" shrinkToFit="0" vertical="center" wrapText="1"/>
    </xf>
    <xf borderId="7" fillId="15" fontId="4" numFmtId="170" xfId="0" applyAlignment="1" applyBorder="1" applyFont="1" applyNumberFormat="1">
      <alignment horizontal="center" shrinkToFit="0" vertical="center" wrapText="1"/>
    </xf>
    <xf borderId="7" fillId="15" fontId="4" numFmtId="167" xfId="0" applyAlignment="1" applyBorder="1" applyFont="1" applyNumberFormat="1">
      <alignment horizontal="center" shrinkToFit="0" vertical="center" wrapText="1"/>
    </xf>
    <xf borderId="8" fillId="15" fontId="4" numFmtId="165" xfId="0" applyAlignment="1" applyBorder="1" applyFont="1" applyNumberFormat="1">
      <alignment horizontal="center" shrinkToFit="0" vertical="center" wrapText="1"/>
    </xf>
    <xf borderId="0" fillId="6" fontId="7" numFmtId="0" xfId="0" applyAlignment="1" applyFont="1">
      <alignment horizontal="center" shrinkToFit="0" vertical="center" wrapText="1"/>
    </xf>
    <xf borderId="2" fillId="12" fontId="3" numFmtId="0" xfId="0" applyAlignment="1" applyBorder="1" applyFont="1">
      <alignment horizontal="center" shrinkToFit="0" vertical="center" wrapText="1"/>
    </xf>
    <xf borderId="3" fillId="16" fontId="3" numFmtId="0" xfId="0" applyAlignment="1" applyBorder="1" applyFill="1" applyFont="1">
      <alignment horizontal="center" shrinkToFit="0" vertical="center" wrapText="1"/>
    </xf>
    <xf borderId="0" fillId="12" fontId="3" numFmtId="0" xfId="0" applyAlignment="1" applyFont="1">
      <alignment horizontal="center" shrinkToFit="0" vertical="center" wrapText="1"/>
    </xf>
    <xf borderId="5" fillId="16" fontId="3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shrinkToFit="0" vertical="center" wrapText="1"/>
    </xf>
    <xf borderId="0" fillId="13" fontId="8" numFmtId="0" xfId="0" applyAlignment="1" applyFont="1">
      <alignment horizontal="center" shrinkToFit="0" vertical="center" wrapText="1"/>
    </xf>
    <xf borderId="0" fillId="13" fontId="4" numFmtId="170" xfId="0" applyAlignment="1" applyFont="1" applyNumberFormat="1">
      <alignment horizontal="center" shrinkToFit="0" vertical="center" wrapText="1"/>
    </xf>
    <xf borderId="0" fillId="4" fontId="8" numFmtId="170" xfId="0" applyAlignment="1" applyFont="1" applyNumberFormat="1">
      <alignment horizontal="center" shrinkToFit="0" vertical="center" wrapText="1"/>
    </xf>
    <xf borderId="5" fillId="13" fontId="4" numFmtId="170" xfId="0" applyAlignment="1" applyBorder="1" applyFont="1" applyNumberFormat="1">
      <alignment horizontal="center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0" fillId="15" fontId="8" numFmtId="0" xfId="0" applyAlignment="1" applyFont="1">
      <alignment horizontal="center" shrinkToFit="0" vertical="center" wrapText="1"/>
    </xf>
    <xf borderId="5" fillId="15" fontId="4" numFmtId="170" xfId="0" applyAlignment="1" applyBorder="1" applyFont="1" applyNumberFormat="1">
      <alignment horizontal="center" shrinkToFit="0" vertical="center" wrapText="1"/>
    </xf>
    <xf borderId="6" fillId="10" fontId="8" numFmtId="0" xfId="0" applyAlignment="1" applyBorder="1" applyFont="1">
      <alignment horizontal="center" shrinkToFit="0" vertical="center" wrapText="1"/>
    </xf>
    <xf borderId="7" fillId="10" fontId="8" numFmtId="0" xfId="0" applyAlignment="1" applyBorder="1" applyFont="1">
      <alignment horizontal="center" shrinkToFit="0" vertical="center" wrapText="1"/>
    </xf>
    <xf borderId="7" fillId="10" fontId="4" numFmtId="170" xfId="0" applyAlignment="1" applyBorder="1" applyFont="1" applyNumberFormat="1">
      <alignment horizontal="center" shrinkToFit="0" vertical="center" wrapText="1"/>
    </xf>
    <xf borderId="7" fillId="4" fontId="8" numFmtId="170" xfId="0" applyAlignment="1" applyBorder="1" applyFont="1" applyNumberFormat="1">
      <alignment horizontal="center" shrinkToFit="0" vertical="center" wrapText="1"/>
    </xf>
    <xf borderId="8" fillId="10" fontId="4" numFmtId="170" xfId="0" applyAlignment="1" applyBorder="1" applyFont="1" applyNumberFormat="1">
      <alignment horizontal="center" shrinkToFit="0" vertical="center" wrapText="1"/>
    </xf>
    <xf borderId="0" fillId="17" fontId="7" numFmtId="0" xfId="0" applyAlignment="1" applyFill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0" fontId="10" numFmtId="0" xfId="0" applyBorder="1" applyFont="1"/>
    <xf borderId="10" fillId="7" fontId="5" numFmtId="164" xfId="0" applyAlignment="1" applyBorder="1" applyFont="1" applyNumberFormat="1">
      <alignment horizontal="center" shrinkToFit="0" vertical="center" wrapText="1"/>
    </xf>
    <xf borderId="4" fillId="4" fontId="14" numFmtId="172" xfId="0" applyAlignment="1" applyBorder="1" applyFont="1" applyNumberFormat="1">
      <alignment horizontal="center" shrinkToFit="0" vertical="center" wrapText="1"/>
    </xf>
    <xf borderId="0" fillId="4" fontId="12" numFmtId="166" xfId="0" applyAlignment="1" applyFont="1" applyNumberForma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7" fontId="5" numFmtId="9" xfId="0" applyAlignment="1" applyBorder="1" applyFont="1" applyNumberForma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0" fillId="10" fontId="8" numFmtId="0" xfId="0" applyAlignment="1" applyFont="1">
      <alignment horizontal="center" shrinkToFit="0" vertical="center" wrapText="1"/>
    </xf>
    <xf borderId="5" fillId="10" fontId="4" numFmtId="170" xfId="0" applyAlignment="1" applyBorder="1" applyFont="1" applyNumberForma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4" fillId="4" fontId="4" numFmtId="164" xfId="0" applyAlignment="1" applyBorder="1" applyFont="1" applyNumberFormat="1">
      <alignment horizontal="center" shrinkToFit="0" vertical="center" wrapText="1"/>
    </xf>
    <xf borderId="0" fillId="4" fontId="15" numFmtId="165" xfId="0" applyAlignment="1" applyFont="1" applyNumberFormat="1">
      <alignment horizontal="center" shrinkToFit="0" vertical="center" wrapText="1"/>
    </xf>
    <xf borderId="0" fillId="4" fontId="7" numFmtId="175" xfId="0" applyAlignment="1" applyFont="1" applyNumberFormat="1">
      <alignment horizontal="center" shrinkToFit="0" vertical="center" wrapText="1"/>
    </xf>
    <xf borderId="0" fillId="18" fontId="3" numFmtId="0" xfId="0" applyAlignment="1" applyFill="1" applyFont="1">
      <alignment horizontal="center" shrinkToFit="0" vertical="center" wrapText="1"/>
    </xf>
    <xf borderId="0" fillId="3" fontId="16" numFmtId="0" xfId="0" applyAlignment="1" applyFont="1">
      <alignment horizontal="center" shrinkToFit="0" vertical="center" wrapText="1"/>
    </xf>
    <xf borderId="4" fillId="7" fontId="17" numFmtId="175" xfId="0" applyAlignment="1" applyBorder="1" applyFont="1" applyNumberFormat="1">
      <alignment horizontal="center" shrinkToFit="0" vertical="center" wrapText="1"/>
    </xf>
    <xf borderId="0" fillId="7" fontId="17" numFmtId="0" xfId="0" applyAlignment="1" applyFont="1">
      <alignment horizontal="center" shrinkToFit="0" vertical="center" wrapText="1"/>
    </xf>
    <xf borderId="0" fillId="7" fontId="17" numFmtId="176" xfId="0" applyAlignment="1" applyFont="1" applyNumberFormat="1">
      <alignment horizontal="center" shrinkToFit="0" vertical="center" wrapText="1"/>
    </xf>
    <xf borderId="0" fillId="7" fontId="18" numFmtId="170" xfId="0" applyAlignment="1" applyFont="1" applyNumberFormat="1">
      <alignment horizontal="center" shrinkToFit="0" vertical="center" wrapText="1"/>
    </xf>
    <xf borderId="0" fillId="8" fontId="19" numFmtId="165" xfId="0" applyAlignment="1" applyFont="1" applyNumberFormat="1">
      <alignment horizontal="center" shrinkToFit="0" vertical="center" wrapText="1"/>
    </xf>
    <xf borderId="5" fillId="8" fontId="19" numFmtId="177" xfId="0" applyAlignment="1" applyBorder="1" applyFont="1" applyNumberFormat="1">
      <alignment horizontal="center" shrinkToFit="0" vertical="center" wrapText="1"/>
    </xf>
    <xf borderId="4" fillId="7" fontId="13" numFmtId="0" xfId="0" applyAlignment="1" applyBorder="1" applyFont="1">
      <alignment horizontal="center" shrinkToFit="0" vertical="center" wrapText="1"/>
    </xf>
    <xf borderId="0" fillId="4" fontId="7" numFmtId="165" xfId="0" applyAlignment="1" applyFont="1" applyNumberFormat="1">
      <alignment horizontal="center" shrinkToFit="0" vertical="center" wrapText="1"/>
    </xf>
    <xf borderId="0" fillId="7" fontId="17" numFmtId="165" xfId="0" applyAlignment="1" applyFont="1" applyNumberFormat="1">
      <alignment horizontal="center" shrinkToFit="0" vertical="center" wrapText="1"/>
    </xf>
    <xf borderId="7" fillId="7" fontId="5" numFmtId="175" xfId="0" applyAlignment="1" applyBorder="1" applyFont="1" applyNumberFormat="1">
      <alignment horizontal="center" shrinkToFit="0" vertical="center" wrapText="1"/>
    </xf>
    <xf borderId="0" fillId="7" fontId="17" numFmtId="9" xfId="0" applyAlignment="1" applyFont="1" applyNumberFormat="1">
      <alignment horizontal="center" shrinkToFit="0" vertical="center" wrapText="1"/>
    </xf>
    <xf borderId="0" fillId="7" fontId="17" numFmtId="175" xfId="0" applyAlignment="1" applyFont="1" applyNumberFormat="1">
      <alignment horizontal="center" shrinkToFit="0" vertical="center" wrapText="1"/>
    </xf>
    <xf borderId="6" fillId="7" fontId="17" numFmtId="175" xfId="0" applyAlignment="1" applyBorder="1" applyFont="1" applyNumberFormat="1">
      <alignment horizontal="center" shrinkToFit="0" vertical="center" wrapText="1"/>
    </xf>
    <xf borderId="7" fillId="7" fontId="17" numFmtId="0" xfId="0" applyAlignment="1" applyBorder="1" applyFont="1">
      <alignment horizontal="center" shrinkToFit="0" vertical="center" wrapText="1"/>
    </xf>
    <xf borderId="7" fillId="7" fontId="17" numFmtId="176" xfId="0" applyAlignment="1" applyBorder="1" applyFont="1" applyNumberFormat="1">
      <alignment horizontal="center" shrinkToFit="0" vertical="center" wrapText="1"/>
    </xf>
    <xf borderId="7" fillId="7" fontId="18" numFmtId="170" xfId="0" applyAlignment="1" applyBorder="1" applyFont="1" applyNumberFormat="1">
      <alignment horizontal="center" shrinkToFit="0" vertical="center" wrapText="1"/>
    </xf>
    <xf borderId="1" fillId="17" fontId="7" numFmtId="0" xfId="0" applyAlignment="1" applyBorder="1" applyFont="1">
      <alignment horizontal="center" shrinkToFit="0" vertical="center" wrapText="1"/>
    </xf>
    <xf borderId="4" fillId="17" fontId="3" numFmtId="0" xfId="0" applyAlignment="1" applyBorder="1" applyFont="1">
      <alignment horizontal="center" shrinkToFit="0" vertical="center" wrapText="1"/>
    </xf>
    <xf borderId="0" fillId="17" fontId="3" numFmtId="0" xfId="0" applyAlignment="1" applyFont="1">
      <alignment horizontal="center" shrinkToFit="0" vertical="center" wrapText="1"/>
    </xf>
    <xf borderId="5" fillId="17" fontId="3" numFmtId="0" xfId="0" applyAlignment="1" applyBorder="1" applyFont="1">
      <alignment horizontal="center" shrinkToFit="0" vertical="center" wrapText="1"/>
    </xf>
    <xf borderId="4" fillId="9" fontId="4" numFmtId="167" xfId="0" applyAlignment="1" applyBorder="1" applyFont="1" applyNumberFormat="1">
      <alignment horizontal="center" shrinkToFit="0" vertical="center" wrapText="1"/>
    </xf>
    <xf borderId="0" fillId="9" fontId="4" numFmtId="165" xfId="0" applyAlignment="1" applyFont="1" applyNumberFormat="1">
      <alignment horizontal="center" shrinkToFit="0" vertical="center" wrapText="1"/>
    </xf>
    <xf borderId="0" fillId="9" fontId="4" numFmtId="170" xfId="0" applyAlignment="1" applyFont="1" applyNumberFormat="1">
      <alignment horizontal="center" shrinkToFit="0" vertical="center" wrapText="1"/>
    </xf>
    <xf borderId="5" fillId="9" fontId="4" numFmtId="167" xfId="0" applyAlignment="1" applyBorder="1" applyFont="1" applyNumberFormat="1">
      <alignment horizontal="center" shrinkToFit="0" vertical="center" wrapText="1"/>
    </xf>
    <xf borderId="6" fillId="9" fontId="4" numFmtId="167" xfId="0" applyAlignment="1" applyBorder="1" applyFont="1" applyNumberFormat="1">
      <alignment horizontal="center" shrinkToFit="0" vertical="center" wrapText="1"/>
    </xf>
    <xf borderId="7" fillId="9" fontId="4" numFmtId="165" xfId="0" applyAlignment="1" applyBorder="1" applyFont="1" applyNumberFormat="1">
      <alignment horizontal="center" shrinkToFit="0" vertical="center" wrapText="1"/>
    </xf>
    <xf borderId="7" fillId="9" fontId="4" numFmtId="170" xfId="0" applyAlignment="1" applyBorder="1" applyFont="1" applyNumberFormat="1">
      <alignment horizontal="center" shrinkToFit="0" vertical="center" wrapText="1"/>
    </xf>
    <xf borderId="8" fillId="9" fontId="4" numFmtId="167" xfId="0" applyAlignment="1" applyBorder="1" applyFont="1" applyNumberFormat="1">
      <alignment horizontal="center" shrinkToFit="0" vertical="center" wrapText="1"/>
    </xf>
    <xf borderId="1" fillId="17" fontId="3" numFmtId="0" xfId="0" applyAlignment="1" applyBorder="1" applyFont="1">
      <alignment horizontal="center" shrinkToFit="0" vertical="center" wrapText="1"/>
    </xf>
    <xf borderId="2" fillId="17" fontId="3" numFmtId="0" xfId="0" applyAlignment="1" applyBorder="1" applyFont="1">
      <alignment horizontal="center" shrinkToFit="0" vertical="center" wrapText="1"/>
    </xf>
    <xf borderId="1" fillId="19" fontId="3" numFmtId="0" xfId="0" applyAlignment="1" applyBorder="1" applyFill="1" applyFont="1">
      <alignment horizontal="center" shrinkToFit="0" vertical="center" wrapText="1"/>
    </xf>
    <xf borderId="3" fillId="19" fontId="3" numFmtId="0" xfId="0" applyAlignment="1" applyBorder="1" applyFont="1">
      <alignment horizontal="center" shrinkToFit="0" vertical="center" wrapText="1"/>
    </xf>
    <xf borderId="4" fillId="20" fontId="20" numFmtId="0" xfId="0" applyAlignment="1" applyBorder="1" applyFill="1" applyFont="1">
      <alignment horizontal="center" shrinkToFit="0" vertical="center" wrapText="1"/>
    </xf>
    <xf borderId="5" fillId="7" fontId="5" numFmtId="170" xfId="0" applyAlignment="1" applyBorder="1" applyFont="1" applyNumberFormat="1">
      <alignment horizontal="center" shrinkToFit="0" vertical="center" wrapText="1"/>
    </xf>
    <xf borderId="5" fillId="19" fontId="3" numFmtId="0" xfId="0" applyAlignment="1" applyBorder="1" applyFont="1">
      <alignment horizontal="center" shrinkToFit="0" vertical="center" wrapText="1"/>
    </xf>
    <xf borderId="8" fillId="20" fontId="4" numFmtId="170" xfId="0" applyAlignment="1" applyBorder="1" applyFont="1" applyNumberFormat="1">
      <alignment horizontal="center" shrinkToFit="0" vertical="center" wrapText="1"/>
    </xf>
    <xf borderId="0" fillId="21" fontId="7" numFmtId="0" xfId="0" applyAlignment="1" applyFill="1" applyFont="1">
      <alignment horizontal="center" shrinkToFit="0" vertical="center" wrapText="1"/>
    </xf>
    <xf borderId="0" fillId="2" fontId="21" numFmtId="0" xfId="0" applyAlignment="1" applyFont="1">
      <alignment horizontal="center" shrinkToFit="0" vertical="center" wrapText="1"/>
    </xf>
    <xf borderId="0" fillId="16" fontId="3" numFmtId="0" xfId="0" applyAlignment="1" applyFont="1">
      <alignment horizontal="center" shrinkToFit="0" vertical="center" wrapText="1"/>
    </xf>
    <xf borderId="4" fillId="7" fontId="5" numFmtId="164" xfId="0" applyAlignment="1" applyBorder="1" applyFont="1" applyNumberFormat="1">
      <alignment horizontal="center" shrinkToFit="0" vertical="center" wrapText="1"/>
    </xf>
    <xf borderId="0" fillId="9" fontId="4" numFmtId="178" xfId="0" applyAlignment="1" applyFont="1" applyNumberFormat="1">
      <alignment horizontal="center" shrinkToFit="0" vertical="center" wrapText="1"/>
    </xf>
    <xf borderId="4" fillId="7" fontId="13" numFmtId="9" xfId="0" applyAlignment="1" applyBorder="1" applyFont="1" applyNumberFormat="1">
      <alignment horizontal="center" shrinkToFit="0" vertical="center" wrapText="1"/>
    </xf>
    <xf borderId="7" fillId="4" fontId="4" numFmtId="165" xfId="0" applyAlignment="1" applyBorder="1" applyFont="1" applyNumberFormat="1">
      <alignment horizontal="center" shrinkToFit="0" vertical="center" wrapText="1"/>
    </xf>
    <xf borderId="0" fillId="4" fontId="3" numFmtId="172" xfId="0" applyAlignment="1" applyFont="1" applyNumberFormat="1">
      <alignment horizontal="center" shrinkToFit="0" vertical="center" wrapText="1"/>
    </xf>
    <xf borderId="11" fillId="6" fontId="3" numFmtId="0" xfId="0" applyAlignment="1" applyBorder="1" applyFont="1">
      <alignment horizontal="center" shrinkToFit="0" vertical="center" wrapText="1"/>
    </xf>
    <xf borderId="12" fillId="0" fontId="10" numFmtId="0" xfId="0" applyBorder="1" applyFont="1"/>
    <xf borderId="13" fillId="6" fontId="3" numFmtId="0" xfId="0" applyAlignment="1" applyBorder="1" applyFont="1">
      <alignment horizontal="center" shrinkToFit="0" vertical="center" wrapText="1"/>
    </xf>
    <xf borderId="10" fillId="4" fontId="4" numFmtId="164" xfId="0" applyAlignment="1" applyBorder="1" applyFont="1" applyNumberFormat="1">
      <alignment horizontal="center" shrinkToFit="0" vertical="center" wrapText="1"/>
    </xf>
    <xf borderId="0" fillId="4" fontId="3" numFmtId="175" xfId="0" applyAlignment="1" applyFont="1" applyNumberFormat="1">
      <alignment horizontal="center" shrinkToFit="0" vertical="center" wrapText="1"/>
    </xf>
    <xf borderId="0" fillId="7" fontId="5" numFmtId="179" xfId="0" applyAlignment="1" applyFont="1" applyNumberFormat="1">
      <alignment horizontal="center" shrinkToFit="0" vertical="center" wrapText="1"/>
    </xf>
    <xf borderId="14" fillId="0" fontId="10" numFmtId="0" xfId="0" applyBorder="1" applyFont="1"/>
    <xf borderId="13" fillId="0" fontId="10" numFmtId="0" xfId="0" applyBorder="1" applyFont="1"/>
    <xf borderId="14" fillId="7" fontId="21" numFmtId="0" xfId="0" applyAlignment="1" applyBorder="1" applyFont="1">
      <alignment horizontal="center" shrinkToFit="0" vertical="center" wrapText="1"/>
    </xf>
    <xf borderId="0" fillId="7" fontId="5" numFmtId="4" xfId="0" applyAlignment="1" applyFont="1" applyNumberFormat="1">
      <alignment horizontal="center" shrinkToFit="0" vertical="center" wrapText="1"/>
    </xf>
    <xf borderId="13" fillId="8" fontId="19" numFmtId="177" xfId="0" applyAlignment="1" applyBorder="1" applyFont="1" applyNumberFormat="1">
      <alignment horizontal="center" shrinkToFit="0" vertical="center" wrapText="1"/>
    </xf>
    <xf borderId="10" fillId="7" fontId="22" numFmtId="0" xfId="0" applyAlignment="1" applyBorder="1" applyFont="1">
      <alignment horizontal="center" shrinkToFit="0" vertical="center" wrapText="1"/>
    </xf>
    <xf borderId="15" fillId="0" fontId="10" numFmtId="0" xfId="0" applyBorder="1" applyFont="1"/>
    <xf borderId="16" fillId="0" fontId="10" numFmtId="0" xfId="0" applyBorder="1" applyFont="1"/>
    <xf borderId="17" fillId="0" fontId="10" numFmtId="0" xfId="0" applyBorder="1" applyFont="1"/>
    <xf borderId="4" fillId="20" fontId="2" numFmtId="0" xfId="0" applyAlignment="1" applyBorder="1" applyFont="1">
      <alignment horizontal="center" shrinkToFit="0" vertical="center" wrapText="1"/>
    </xf>
    <xf borderId="4" fillId="7" fontId="5" numFmtId="180" xfId="0" applyAlignment="1" applyBorder="1" applyFont="1" applyNumberFormat="1">
      <alignment horizontal="center" shrinkToFit="0" vertical="center" wrapText="1"/>
    </xf>
    <xf borderId="5" fillId="7" fontId="18" numFmtId="170" xfId="0" applyAlignment="1" applyBorder="1" applyFont="1" applyNumberForma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4" fillId="19" fontId="3" numFmtId="0" xfId="0" applyAlignment="1" applyBorder="1" applyFont="1">
      <alignment horizontal="center" shrinkToFit="0" vertical="center" wrapText="1"/>
    </xf>
    <xf borderId="6" fillId="20" fontId="4" numFmtId="180" xfId="0" applyAlignment="1" applyBorder="1" applyFont="1" applyNumberFormat="1">
      <alignment horizontal="center" shrinkToFit="0" vertical="center" wrapText="1"/>
    </xf>
    <xf borderId="8" fillId="20" fontId="18" numFmtId="170" xfId="0" applyAlignment="1" applyBorder="1" applyFont="1" applyNumberFormat="1">
      <alignment horizontal="center" shrinkToFit="0" vertical="center" wrapText="1"/>
    </xf>
    <xf borderId="8" fillId="9" fontId="4" numFmtId="0" xfId="0" applyAlignment="1" applyBorder="1" applyFont="1">
      <alignment horizontal="center" shrinkToFit="0" vertical="center" wrapText="1"/>
    </xf>
    <xf borderId="0" fillId="7" fontId="23" numFmtId="0" xfId="0" applyAlignment="1" applyFont="1">
      <alignment horizontal="center" shrinkToFit="0" vertical="center" wrapText="1"/>
    </xf>
    <xf borderId="0" fillId="21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22" fontId="3" numFmtId="0" xfId="0" applyAlignment="1" applyFill="1" applyFont="1">
      <alignment horizontal="center" shrinkToFit="0" vertical="center" wrapText="1"/>
    </xf>
    <xf borderId="0" fillId="23" fontId="3" numFmtId="0" xfId="0" applyAlignment="1" applyFill="1" applyFont="1">
      <alignment horizontal="center" shrinkToFit="0" vertical="center" wrapText="1"/>
    </xf>
    <xf borderId="0" fillId="24" fontId="3" numFmtId="0" xfId="0" applyAlignment="1" applyFill="1" applyFont="1">
      <alignment horizontal="center" shrinkToFit="0" vertical="center" wrapText="1"/>
    </xf>
    <xf borderId="0" fillId="25" fontId="9" numFmtId="181" xfId="0" applyAlignment="1" applyFill="1" applyFont="1" applyNumberFormat="1">
      <alignment horizontal="center" shrinkToFit="0" vertical="center" wrapText="1"/>
    </xf>
    <xf borderId="0" fillId="26" fontId="9" numFmtId="182" xfId="0" applyAlignment="1" applyFill="1" applyFont="1" applyNumberFormat="1">
      <alignment horizontal="center" shrinkToFit="0" vertical="center" wrapText="1"/>
    </xf>
    <xf borderId="0" fillId="25" fontId="9" numFmtId="0" xfId="0" applyAlignment="1" applyFont="1">
      <alignment horizontal="center" shrinkToFit="0" vertical="center" wrapText="1"/>
    </xf>
    <xf borderId="0" fillId="25" fontId="9" numFmtId="180" xfId="0" applyAlignment="1" applyFont="1" applyNumberFormat="1">
      <alignment horizontal="center" shrinkToFit="0" vertical="center" wrapText="1"/>
    </xf>
    <xf borderId="0" fillId="25" fontId="9" numFmtId="170" xfId="0" applyAlignment="1" applyFont="1" applyNumberFormat="1">
      <alignment horizontal="center" shrinkToFit="0" vertical="center" wrapText="1"/>
    </xf>
    <xf borderId="0" fillId="25" fontId="9" numFmtId="183" xfId="0" applyAlignment="1" applyFont="1" applyNumberFormat="1">
      <alignment horizontal="center" shrinkToFit="0" vertical="center" wrapText="1"/>
    </xf>
    <xf borderId="0" fillId="27" fontId="9" numFmtId="0" xfId="0" applyAlignment="1" applyFill="1" applyFont="1">
      <alignment horizontal="center" shrinkToFit="0" vertical="center" wrapText="1"/>
    </xf>
    <xf borderId="0" fillId="27" fontId="9" numFmtId="180" xfId="0" applyAlignment="1" applyFont="1" applyNumberFormat="1">
      <alignment horizontal="center" shrinkToFit="0" vertical="center" wrapText="1"/>
    </xf>
    <xf borderId="0" fillId="27" fontId="9" numFmtId="170" xfId="0" applyAlignment="1" applyFont="1" applyNumberFormat="1">
      <alignment horizontal="center" shrinkToFit="0" vertical="center" wrapText="1"/>
    </xf>
    <xf borderId="0" fillId="27" fontId="9" numFmtId="183" xfId="0" applyAlignment="1" applyFont="1" applyNumberFormat="1">
      <alignment horizontal="center" shrinkToFit="0" vertical="center" wrapText="1"/>
    </xf>
    <xf borderId="0" fillId="25" fontId="24" numFmtId="165" xfId="0" applyAlignment="1" applyFont="1" applyNumberFormat="1">
      <alignment horizontal="center" shrinkToFit="0" vertical="center" wrapText="1"/>
    </xf>
    <xf borderId="0" fillId="28" fontId="24" numFmtId="165" xfId="0" applyAlignment="1" applyFill="1" applyFont="1" applyNumberFormat="1">
      <alignment horizontal="center" shrinkToFit="0" vertical="center" wrapText="1"/>
    </xf>
    <xf borderId="0" fillId="28" fontId="24" numFmtId="172" xfId="0" applyAlignment="1" applyFont="1" applyNumberFormat="1">
      <alignment horizontal="center" shrinkToFit="0" vertical="center" wrapText="1"/>
    </xf>
    <xf borderId="0" fillId="29" fontId="24" numFmtId="183" xfId="0" applyAlignment="1" applyFill="1" applyFont="1" applyNumberFormat="1">
      <alignment horizontal="center" shrinkToFit="0" vertical="center" wrapText="1"/>
    </xf>
    <xf borderId="0" fillId="30" fontId="9" numFmtId="184" xfId="0" applyAlignment="1" applyFill="1" applyFont="1" applyNumberFormat="1">
      <alignment horizontal="center" shrinkToFit="0" vertical="center" wrapText="1"/>
    </xf>
    <xf borderId="0" fillId="30" fontId="9" numFmtId="165" xfId="0" applyAlignment="1" applyFont="1" applyNumberFormat="1">
      <alignment horizontal="center" shrinkToFit="0" vertical="center" wrapText="1"/>
    </xf>
    <xf borderId="0" fillId="25" fontId="9" numFmtId="184" xfId="0" applyAlignment="1" applyFont="1" applyNumberFormat="1">
      <alignment horizontal="center" shrinkToFit="0" vertical="center" wrapText="1"/>
    </xf>
    <xf borderId="0" fillId="25" fontId="9" numFmtId="185" xfId="0" applyAlignment="1" applyFont="1" applyNumberFormat="1">
      <alignment horizontal="center" shrinkToFit="0" vertical="center" wrapText="1"/>
    </xf>
    <xf borderId="0" fillId="5" fontId="8" numFmtId="182" xfId="0" applyAlignment="1" applyFont="1" applyNumberFormat="1">
      <alignment horizontal="center" shrinkToFit="0" vertical="center" wrapText="1"/>
    </xf>
    <xf borderId="0" fillId="26" fontId="1" numFmtId="182" xfId="0" applyAlignment="1" applyFont="1" applyNumberFormat="1">
      <alignment vertical="center"/>
    </xf>
    <xf borderId="0" fillId="26" fontId="9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18" fillId="31" fontId="3" numFmtId="0" xfId="0" applyAlignment="1" applyBorder="1" applyFill="1" applyFont="1">
      <alignment horizontal="center" shrinkToFit="0" vertical="center" wrapText="1"/>
    </xf>
    <xf borderId="18" fillId="31" fontId="6" numFmtId="0" xfId="0" applyAlignment="1" applyBorder="1" applyFont="1">
      <alignment horizontal="left" shrinkToFit="0" vertical="center" wrapText="1"/>
    </xf>
    <xf borderId="18" fillId="31" fontId="25" numFmtId="0" xfId="0" applyAlignment="1" applyBorder="1" applyFont="1">
      <alignment horizontal="center" shrinkToFit="0" vertical="center" wrapText="1"/>
    </xf>
    <xf borderId="19" fillId="8" fontId="3" numFmtId="0" xfId="0" applyAlignment="1" applyBorder="1" applyFont="1">
      <alignment horizontal="center" shrinkToFit="0" vertical="center" wrapText="1"/>
    </xf>
    <xf borderId="19" fillId="8" fontId="6" numFmtId="0" xfId="0" applyAlignment="1" applyBorder="1" applyFont="1">
      <alignment horizontal="left" shrinkToFit="0" vertical="center" wrapText="1"/>
    </xf>
    <xf borderId="19" fillId="8" fontId="25" numFmtId="0" xfId="0" applyAlignment="1" applyBorder="1" applyFont="1">
      <alignment horizontal="center" shrinkToFit="0" vertical="center" wrapText="1"/>
    </xf>
    <xf borderId="18" fillId="8" fontId="3" numFmtId="0" xfId="0" applyAlignment="1" applyBorder="1" applyFont="1">
      <alignment horizontal="center" shrinkToFit="0" vertical="center" wrapText="1"/>
    </xf>
    <xf borderId="18" fillId="8" fontId="6" numFmtId="0" xfId="0" applyAlignment="1" applyBorder="1" applyFont="1">
      <alignment horizontal="left" shrinkToFit="0" vertical="center" wrapText="1"/>
    </xf>
    <xf borderId="18" fillId="8" fontId="25" numFmtId="0" xfId="0" applyAlignment="1" applyBorder="1" applyFont="1">
      <alignment horizontal="center" shrinkToFit="0" vertical="center" wrapText="1"/>
    </xf>
    <xf borderId="19" fillId="31" fontId="3" numFmtId="0" xfId="0" applyAlignment="1" applyBorder="1" applyFont="1">
      <alignment horizontal="center" shrinkToFit="0" vertical="center" wrapText="1"/>
    </xf>
    <xf borderId="18" fillId="8" fontId="6" numFmtId="0" xfId="0" applyAlignment="1" applyBorder="1" applyFont="1">
      <alignment shrinkToFit="0" vertical="center" wrapText="1"/>
    </xf>
    <xf borderId="18" fillId="31" fontId="6" numFmtId="0" xfId="0" applyAlignment="1" applyBorder="1" applyFont="1">
      <alignment shrinkToFit="0" vertical="center" wrapText="1"/>
    </xf>
    <xf borderId="18" fillId="32" fontId="3" numFmtId="0" xfId="0" applyAlignment="1" applyBorder="1" applyFill="1" applyFont="1">
      <alignment horizontal="center" shrinkToFit="0" vertical="center" wrapText="1"/>
    </xf>
    <xf borderId="18" fillId="32" fontId="6" numFmtId="0" xfId="0" applyAlignment="1" applyBorder="1" applyFont="1">
      <alignment shrinkToFit="0" vertical="center" wrapText="1"/>
    </xf>
    <xf borderId="18" fillId="32" fontId="25" numFmtId="0" xfId="0" applyAlignment="1" applyBorder="1" applyFont="1">
      <alignment horizontal="center" shrinkToFit="0" vertical="center" wrapText="1"/>
    </xf>
    <xf borderId="20" fillId="8" fontId="6" numFmtId="0" xfId="0" applyAlignment="1" applyBorder="1" applyFont="1">
      <alignment shrinkToFit="0" vertical="center" wrapText="1"/>
    </xf>
    <xf borderId="20" fillId="8" fontId="25" numFmtId="0" xfId="0" applyAlignment="1" applyBorder="1" applyFont="1">
      <alignment horizontal="center" shrinkToFit="0" vertical="center" wrapText="1"/>
    </xf>
    <xf borderId="0" fillId="33" fontId="9" numFmtId="0" xfId="0" applyAlignment="1" applyFill="1" applyFont="1">
      <alignment horizontal="center" shrinkToFit="0" vertical="center" wrapText="1"/>
    </xf>
    <xf borderId="0" fillId="28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0" fillId="34" fontId="9" numFmtId="0" xfId="0" applyAlignment="1" applyFill="1" applyFont="1">
      <alignment horizontal="center" shrinkToFit="0" vertical="center" wrapText="1"/>
    </xf>
    <xf borderId="0" fillId="25" fontId="9" numFmtId="0" xfId="0" applyAlignment="1" applyFont="1">
      <alignment horizontal="left" shrinkToFit="0" vertical="center" wrapText="1"/>
    </xf>
    <xf borderId="0" fillId="35" fontId="9" numFmtId="0" xfId="0" applyAlignment="1" applyFill="1" applyFont="1">
      <alignment horizontal="center" shrinkToFit="0" vertical="center" wrapText="1"/>
    </xf>
    <xf borderId="0" fillId="36" fontId="9" numFmtId="0" xfId="0" applyAlignment="1" applyFill="1" applyFont="1">
      <alignment horizontal="left" shrinkToFit="0" vertical="center" wrapText="1"/>
    </xf>
    <xf borderId="0" fillId="37" fontId="8" numFmtId="0" xfId="0" applyAlignment="1" applyFill="1" applyFont="1">
      <alignment horizontal="center" shrinkToFit="0" vertical="center" wrapText="1"/>
    </xf>
    <xf borderId="0" fillId="38" fontId="9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1">
    <dxf>
      <font>
        <strike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6.88"/>
    <col customWidth="1" min="3" max="3" width="20.88"/>
    <col customWidth="1" min="4" max="4" width="26.88"/>
    <col customWidth="1" min="5" max="5" width="30.13"/>
    <col customWidth="1" min="6" max="6" width="3.63"/>
    <col customWidth="1" min="7" max="7" width="32.13"/>
    <col customWidth="1" min="8" max="8" width="33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0</v>
      </c>
      <c r="F2" s="1"/>
      <c r="G2" s="3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3" t="s">
        <v>2</v>
      </c>
      <c r="B3" s="4">
        <v>100.0</v>
      </c>
      <c r="C3" s="3" t="s">
        <v>3</v>
      </c>
      <c r="D3" s="3" t="s">
        <v>4</v>
      </c>
      <c r="F3" s="1"/>
      <c r="G3" s="3" t="s">
        <v>5</v>
      </c>
      <c r="H3" s="3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3" t="s">
        <v>7</v>
      </c>
      <c r="B4" s="5">
        <v>100.0</v>
      </c>
      <c r="C4" s="6">
        <f>E9</f>
        <v>0</v>
      </c>
      <c r="D4" s="7">
        <v>3.0</v>
      </c>
      <c r="F4" s="1"/>
      <c r="G4" s="8">
        <f>D6/B4*20</f>
        <v>0</v>
      </c>
      <c r="H4" s="8">
        <f>D6/B4*20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3" t="s">
        <v>8</v>
      </c>
      <c r="B5" s="9">
        <v>25.0</v>
      </c>
      <c r="C5" s="8">
        <f>C4/B4*B5</f>
        <v>0</v>
      </c>
      <c r="D5" s="10" t="s">
        <v>9</v>
      </c>
      <c r="E5" s="11" t="s">
        <v>10</v>
      </c>
      <c r="F5" s="1"/>
      <c r="G5" s="3" t="s">
        <v>11</v>
      </c>
      <c r="H5" s="3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5.75" customHeight="1">
      <c r="A6" s="3" t="s">
        <v>13</v>
      </c>
      <c r="B6" s="9">
        <v>25.0</v>
      </c>
      <c r="C6" s="8">
        <f>C4/B4*B6</f>
        <v>0</v>
      </c>
      <c r="D6" s="12"/>
      <c r="E6" s="13">
        <f>D4/B4*D6</f>
        <v>0</v>
      </c>
      <c r="F6" s="1"/>
      <c r="G6" s="8">
        <f>G4*D9</f>
        <v>0</v>
      </c>
      <c r="H6" s="8">
        <f>H4*D9</f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3" t="s">
        <v>14</v>
      </c>
      <c r="B7" s="9">
        <v>15.0</v>
      </c>
      <c r="C7" s="8">
        <f>C4/B4*B7</f>
        <v>0</v>
      </c>
      <c r="F7" s="1"/>
      <c r="G7" s="3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5.75" customHeight="1">
      <c r="A8" s="3" t="s">
        <v>16</v>
      </c>
      <c r="B8" s="14">
        <v>25.0</v>
      </c>
      <c r="C8" s="15">
        <f>C4/B4*B8</f>
        <v>0</v>
      </c>
      <c r="D8" s="10" t="s">
        <v>17</v>
      </c>
      <c r="E8" s="16" t="s">
        <v>18</v>
      </c>
      <c r="F8" s="1"/>
      <c r="G8" s="8">
        <f>D6/B4*300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5.75" customHeight="1">
      <c r="A9" s="3" t="s">
        <v>19</v>
      </c>
      <c r="B9" s="14">
        <v>1.0</v>
      </c>
      <c r="C9" s="15">
        <f>C4/B4*B9</f>
        <v>0</v>
      </c>
      <c r="D9" s="17"/>
      <c r="E9" s="13">
        <f>E6*D9</f>
        <v>0</v>
      </c>
      <c r="F9" s="1"/>
      <c r="G9" s="3" t="s"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5.75" customHeight="1">
      <c r="A10" s="18" t="s">
        <v>21</v>
      </c>
      <c r="F10" s="1"/>
      <c r="G10" s="8">
        <f>G8*D9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30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4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34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E2"/>
    <mergeCell ref="G2:H2"/>
    <mergeCell ref="D3:E3"/>
    <mergeCell ref="D4:E4"/>
    <mergeCell ref="D6:D7"/>
    <mergeCell ref="E6:E7"/>
    <mergeCell ref="A10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7.0"/>
    <col customWidth="1" min="3" max="3" width="3.88"/>
    <col customWidth="1" min="4" max="4" width="25.13"/>
    <col customWidth="1" min="5" max="5" width="16.88"/>
    <col customWidth="1" min="6" max="6" width="20.88"/>
    <col customWidth="1" min="7" max="7" width="26.88"/>
    <col customWidth="1" min="8" max="8" width="30.13"/>
    <col customWidth="1" min="9" max="9" width="3.63"/>
    <col customWidth="1" min="10" max="10" width="32.13"/>
    <col customWidth="1" min="11" max="11" width="33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9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20" t="s">
        <v>23</v>
      </c>
      <c r="B3" s="21" t="s">
        <v>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22"/>
      <c r="B4" s="2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3" t="s">
        <v>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24">
        <f>B4+(0.4*(20-A4))</f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25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25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0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4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B2"/>
    <mergeCell ref="A4:A5"/>
    <mergeCell ref="B4:B5"/>
    <mergeCell ref="A6:B6"/>
    <mergeCell ref="A7:B7"/>
    <mergeCell ref="A8:B9"/>
    <mergeCell ref="A10:B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7.0"/>
    <col customWidth="1" min="3" max="3" width="3.88"/>
    <col customWidth="1" min="4" max="4" width="25.13"/>
    <col customWidth="1" min="5" max="5" width="16.88"/>
    <col customWidth="1" min="6" max="6" width="20.88"/>
    <col customWidth="1" min="7" max="7" width="26.88"/>
    <col customWidth="1" min="8" max="8" width="30.13"/>
    <col customWidth="1" min="9" max="9" width="3.63"/>
    <col customWidth="1" min="10" max="10" width="32.13"/>
    <col customWidth="1" min="11" max="11" width="33.38"/>
  </cols>
  <sheetData>
    <row r="1" ht="30.75" customHeight="1">
      <c r="A1" s="2" t="s">
        <v>28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3" t="s">
        <v>29</v>
      </c>
      <c r="B2" s="3" t="s">
        <v>30</v>
      </c>
      <c r="D2" s="3" t="s">
        <v>31</v>
      </c>
      <c r="E2" s="3" t="s">
        <v>32</v>
      </c>
      <c r="G2" s="3" t="s">
        <v>33</v>
      </c>
      <c r="H2" s="3" t="s">
        <v>34</v>
      </c>
      <c r="I2" s="3" t="s">
        <v>35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47.25" customHeight="1">
      <c r="A3" s="26"/>
      <c r="B3" s="26"/>
      <c r="D3" s="27">
        <v>3.14</v>
      </c>
      <c r="E3" s="6">
        <f>(((A3/2)*(A3/2)*B3)/D3)/100</f>
        <v>0</v>
      </c>
      <c r="G3" s="28"/>
      <c r="H3" s="29"/>
      <c r="I3" s="6" t="str">
        <f>(E3*G3)/H3</f>
        <v>#DIV/0!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6" t="s">
        <v>36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4.5" customHeight="1">
      <c r="A5" s="13" t="str">
        <f>I3-E3</f>
        <v>#DIV/0!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:D4"/>
    <mergeCell ref="A5:D5"/>
    <mergeCell ref="A1:J1"/>
    <mergeCell ref="B2:C2"/>
    <mergeCell ref="E2:F2"/>
    <mergeCell ref="I2:J2"/>
    <mergeCell ref="B3:C3"/>
    <mergeCell ref="E3:F3"/>
    <mergeCell ref="I3:J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88"/>
    <col customWidth="1" min="3" max="3" width="14.5"/>
    <col customWidth="1" min="4" max="4" width="26.38"/>
    <col customWidth="1" min="5" max="5" width="15.38"/>
    <col customWidth="1" min="6" max="6" width="14.63"/>
    <col customWidth="1" min="7" max="7" width="30.38"/>
    <col customWidth="1" min="8" max="8" width="24.88"/>
    <col customWidth="1" min="9" max="9" width="12.75"/>
    <col customWidth="1" min="10" max="10" width="10.0"/>
    <col customWidth="1" min="11" max="11" width="17.13"/>
    <col customWidth="1" min="12" max="12" width="17.63"/>
    <col customWidth="1" min="13" max="13" width="17.5"/>
    <col customWidth="1" min="14" max="14" width="17.0"/>
    <col customWidth="1" min="15" max="15" width="18.0"/>
    <col customWidth="1" min="16" max="16" width="20.25"/>
    <col customWidth="1" min="17" max="17" width="18.75"/>
    <col customWidth="1" min="18" max="18" width="13.88"/>
  </cols>
  <sheetData>
    <row r="1" ht="15.75" customHeight="1">
      <c r="A1" s="30" t="s">
        <v>37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ht="15.75" customHeight="1">
      <c r="A2" s="3" t="s">
        <v>38</v>
      </c>
      <c r="B2" s="32" t="s">
        <v>39</v>
      </c>
      <c r="C2" s="33"/>
      <c r="D2" s="34" t="s">
        <v>40</v>
      </c>
      <c r="E2" s="34" t="s">
        <v>41</v>
      </c>
      <c r="F2" s="35"/>
      <c r="G2" s="36" t="s">
        <v>42</v>
      </c>
      <c r="H2" s="34" t="s">
        <v>43</v>
      </c>
      <c r="I2" s="33"/>
      <c r="J2" s="34" t="s">
        <v>44</v>
      </c>
      <c r="K2" s="33"/>
      <c r="L2" s="34" t="s">
        <v>45</v>
      </c>
      <c r="M2" s="34" t="s">
        <v>46</v>
      </c>
      <c r="N2" s="35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15.75" customHeight="1">
      <c r="B3" s="37" t="s">
        <v>47</v>
      </c>
      <c r="F3" s="38"/>
      <c r="G3" s="39" t="s">
        <v>48</v>
      </c>
      <c r="N3" s="38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ht="15.75" customHeight="1">
      <c r="A4" s="12"/>
      <c r="B4" s="40">
        <f>A8/2</f>
        <v>0</v>
      </c>
      <c r="D4" s="41">
        <f>B4/1.53</f>
        <v>0</v>
      </c>
      <c r="E4" s="41">
        <f>B4/3</f>
        <v>0</v>
      </c>
      <c r="F4" s="38"/>
      <c r="G4" s="42">
        <f>B10*0.5</f>
        <v>0</v>
      </c>
      <c r="H4" s="43"/>
      <c r="J4" s="44">
        <v>40.0</v>
      </c>
      <c r="L4" s="45">
        <f>B8*G4*H4/J4</f>
        <v>0</v>
      </c>
      <c r="M4" s="7">
        <f>L4*15%</f>
        <v>0</v>
      </c>
      <c r="N4" s="38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5.75" customHeight="1">
      <c r="A5" s="3" t="s">
        <v>49</v>
      </c>
      <c r="B5" s="46"/>
      <c r="F5" s="38"/>
      <c r="G5" s="46"/>
      <c r="M5" s="3" t="s">
        <v>50</v>
      </c>
      <c r="N5" s="38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5.75" customHeight="1">
      <c r="A6" s="47"/>
      <c r="B6" s="48"/>
      <c r="C6" s="49"/>
      <c r="D6" s="49"/>
      <c r="E6" s="49"/>
      <c r="F6" s="50"/>
      <c r="G6" s="48"/>
      <c r="H6" s="49"/>
      <c r="I6" s="49"/>
      <c r="J6" s="49"/>
      <c r="K6" s="49"/>
      <c r="L6" s="49"/>
      <c r="M6" s="51">
        <f>L4-M4</f>
        <v>0</v>
      </c>
      <c r="N6" s="5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ht="15.75" customHeight="1">
      <c r="A7" s="3" t="s">
        <v>51</v>
      </c>
      <c r="B7" s="52" t="s">
        <v>52</v>
      </c>
      <c r="C7" s="53" t="s">
        <v>53</v>
      </c>
      <c r="D7" s="33"/>
      <c r="E7" s="33"/>
      <c r="F7" s="33"/>
      <c r="G7" s="33"/>
      <c r="H7" s="33"/>
      <c r="I7" s="33"/>
      <c r="J7" s="33"/>
      <c r="K7" s="33"/>
      <c r="L7" s="35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ht="15.75" customHeight="1">
      <c r="A8" s="54">
        <f>A4*A6</f>
        <v>0</v>
      </c>
      <c r="B8" s="55">
        <f>A8/2*A10</f>
        <v>0</v>
      </c>
      <c r="C8" s="56" t="s">
        <v>54</v>
      </c>
      <c r="E8" s="57" t="s">
        <v>55</v>
      </c>
      <c r="G8" s="57" t="s">
        <v>56</v>
      </c>
      <c r="H8" s="57" t="s">
        <v>57</v>
      </c>
      <c r="I8" s="57" t="s">
        <v>58</v>
      </c>
      <c r="K8" s="57" t="s">
        <v>59</v>
      </c>
      <c r="L8" s="58" t="s">
        <v>60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ht="15.75" customHeight="1">
      <c r="A9" s="3" t="s">
        <v>61</v>
      </c>
      <c r="B9" s="3" t="s">
        <v>62</v>
      </c>
      <c r="C9" s="59">
        <f>'คำนวณเตรียมวัตถุดิบทำ เอนไซม์'!H4</f>
        <v>0</v>
      </c>
      <c r="E9" s="60">
        <f>B8</f>
        <v>0</v>
      </c>
      <c r="G9" s="61">
        <f>B4</f>
        <v>0</v>
      </c>
      <c r="H9" s="61">
        <f t="shared" ref="H9:I9" si="1">D4</f>
        <v>0</v>
      </c>
      <c r="I9" s="61">
        <f t="shared" si="1"/>
        <v>0</v>
      </c>
      <c r="K9" s="62">
        <f>'คำนวณเตรียมวัตถุดิบทำ เอนไซม์'!G8</f>
        <v>0</v>
      </c>
      <c r="L9" s="63">
        <f>'คำนวณเตรียมวัตถุดิบทำ เอนไซม์'!E6</f>
        <v>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ht="15.75" customHeight="1">
      <c r="A10" s="17"/>
      <c r="B10" s="64"/>
      <c r="C10" s="56" t="s">
        <v>63</v>
      </c>
      <c r="E10" s="57" t="s">
        <v>64</v>
      </c>
      <c r="G10" s="57" t="s">
        <v>65</v>
      </c>
      <c r="H10" s="57" t="s">
        <v>66</v>
      </c>
      <c r="I10" s="57" t="s">
        <v>67</v>
      </c>
      <c r="K10" s="57" t="s">
        <v>68</v>
      </c>
      <c r="L10" s="58" t="s">
        <v>69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ht="15.75" customHeight="1">
      <c r="C11" s="65">
        <f>'คำนวณเตรียมวัตถุดิบทำ เอนไซม์'!H6</f>
        <v>0</v>
      </c>
      <c r="D11" s="49"/>
      <c r="E11" s="66">
        <f>E9*A10</f>
        <v>0</v>
      </c>
      <c r="F11" s="49"/>
      <c r="G11" s="67">
        <f>B4*A10</f>
        <v>0</v>
      </c>
      <c r="H11" s="67">
        <f>D4*A10</f>
        <v>0</v>
      </c>
      <c r="I11" s="67">
        <f>E4*A10</f>
        <v>0</v>
      </c>
      <c r="J11" s="49"/>
      <c r="K11" s="68">
        <f>'คำนวณเตรียมวัตถุดิบทำ เอนไซม์'!G10</f>
        <v>0</v>
      </c>
      <c r="L11" s="69">
        <f>'คำนวณเตรียมวัตถุดิบทำ เอนไซม์'!E9</f>
        <v>0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L2:L3"/>
    <mergeCell ref="M2:N3"/>
    <mergeCell ref="M4:N4"/>
    <mergeCell ref="M5:N5"/>
    <mergeCell ref="M6:N6"/>
    <mergeCell ref="A1:N1"/>
    <mergeCell ref="A2:A3"/>
    <mergeCell ref="B2:C2"/>
    <mergeCell ref="D2:D3"/>
    <mergeCell ref="E2:F3"/>
    <mergeCell ref="H2:I3"/>
    <mergeCell ref="J2:K3"/>
    <mergeCell ref="B3:C3"/>
    <mergeCell ref="B4:C6"/>
    <mergeCell ref="D4:D6"/>
    <mergeCell ref="E4:F6"/>
    <mergeCell ref="G4:G6"/>
    <mergeCell ref="H4:I6"/>
    <mergeCell ref="L4:L6"/>
    <mergeCell ref="C9:D9"/>
    <mergeCell ref="A10:A11"/>
    <mergeCell ref="B10:B11"/>
    <mergeCell ref="C10:D10"/>
    <mergeCell ref="E10:F10"/>
    <mergeCell ref="C11:D11"/>
    <mergeCell ref="E11:F11"/>
    <mergeCell ref="I10:J10"/>
    <mergeCell ref="I11:J11"/>
    <mergeCell ref="J4:K6"/>
    <mergeCell ref="C7:L7"/>
    <mergeCell ref="C8:D8"/>
    <mergeCell ref="E8:F8"/>
    <mergeCell ref="I8:J8"/>
    <mergeCell ref="E9:F9"/>
    <mergeCell ref="I9:J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88"/>
    <col customWidth="1" min="3" max="3" width="14.5"/>
    <col customWidth="1" min="4" max="4" width="26.38"/>
    <col customWidth="1" min="5" max="5" width="15.38"/>
    <col customWidth="1" min="6" max="6" width="14.63"/>
    <col customWidth="1" min="7" max="7" width="30.38"/>
    <col customWidth="1" min="8" max="8" width="24.88"/>
    <col customWidth="1" min="9" max="9" width="12.75"/>
    <col customWidth="1" min="10" max="10" width="10.0"/>
    <col customWidth="1" min="11" max="11" width="17.13"/>
    <col customWidth="1" min="12" max="12" width="17.63"/>
    <col customWidth="1" min="13" max="13" width="17.5"/>
    <col customWidth="1" min="14" max="14" width="17.0"/>
    <col customWidth="1" min="15" max="15" width="18.0"/>
    <col customWidth="1" min="16" max="16" width="20.25"/>
    <col customWidth="1" min="17" max="17" width="18.75"/>
    <col customWidth="1" min="18" max="18" width="13.88"/>
  </cols>
  <sheetData>
    <row r="1" ht="15.75" customHeight="1">
      <c r="A1" s="70" t="s">
        <v>70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ht="15.75" customHeight="1">
      <c r="A2" s="3" t="s">
        <v>38</v>
      </c>
      <c r="B2" s="36" t="s">
        <v>71</v>
      </c>
      <c r="C2" s="33"/>
      <c r="D2" s="71" t="s">
        <v>39</v>
      </c>
      <c r="E2" s="34" t="s">
        <v>40</v>
      </c>
      <c r="F2" s="34" t="s">
        <v>41</v>
      </c>
      <c r="G2" s="72" t="s">
        <v>16</v>
      </c>
      <c r="H2" s="36" t="s">
        <v>42</v>
      </c>
      <c r="I2" s="34" t="s">
        <v>43</v>
      </c>
      <c r="J2" s="33"/>
      <c r="K2" s="34" t="s">
        <v>44</v>
      </c>
      <c r="L2" s="34" t="s">
        <v>45</v>
      </c>
      <c r="M2" s="34" t="s">
        <v>46</v>
      </c>
      <c r="N2" s="35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15.75" customHeight="1">
      <c r="B3" s="39" t="s">
        <v>72</v>
      </c>
      <c r="C3" s="3" t="s">
        <v>73</v>
      </c>
      <c r="D3" s="73" t="s">
        <v>74</v>
      </c>
      <c r="G3" s="74" t="s">
        <v>75</v>
      </c>
      <c r="H3" s="39" t="s">
        <v>48</v>
      </c>
      <c r="N3" s="38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ht="15.75" customHeight="1">
      <c r="A4" s="12"/>
      <c r="B4" s="75" t="s">
        <v>76</v>
      </c>
      <c r="C4" s="76">
        <v>6.0</v>
      </c>
      <c r="D4" s="77">
        <f>A8/C4/1.2</f>
        <v>0</v>
      </c>
      <c r="E4" s="78">
        <f t="shared" ref="E4:E6" si="1">D4/1.53</f>
        <v>0</v>
      </c>
      <c r="F4" s="78">
        <f t="shared" ref="F4:F6" si="2">D4/3</f>
        <v>0</v>
      </c>
      <c r="G4" s="79">
        <f>(A8-(A8/C4))/3</f>
        <v>0</v>
      </c>
      <c r="H4" s="42">
        <f>B10*0.5</f>
        <v>0</v>
      </c>
      <c r="I4" s="43"/>
      <c r="K4" s="44">
        <v>40.0</v>
      </c>
      <c r="L4" s="45">
        <f>B8*H4*I4/K4</f>
        <v>0</v>
      </c>
      <c r="M4" s="7">
        <f>L4*15%</f>
        <v>0</v>
      </c>
      <c r="N4" s="38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5.75" customHeight="1">
      <c r="A5" s="3" t="s">
        <v>49</v>
      </c>
      <c r="B5" s="80" t="s">
        <v>77</v>
      </c>
      <c r="C5" s="81">
        <v>5.0</v>
      </c>
      <c r="D5" s="61">
        <f>A8/C5/1.2</f>
        <v>0</v>
      </c>
      <c r="E5" s="78">
        <f t="shared" si="1"/>
        <v>0</v>
      </c>
      <c r="F5" s="78">
        <f t="shared" si="2"/>
        <v>0</v>
      </c>
      <c r="G5" s="82">
        <f>(A8-(A8/C5))/3</f>
        <v>0</v>
      </c>
      <c r="H5" s="46"/>
      <c r="M5" s="3" t="s">
        <v>50</v>
      </c>
      <c r="N5" s="38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5.75" customHeight="1">
      <c r="A6" s="47"/>
      <c r="B6" s="83" t="s">
        <v>78</v>
      </c>
      <c r="C6" s="84">
        <v>4.0</v>
      </c>
      <c r="D6" s="85">
        <f>A8/C6/1.2</f>
        <v>0</v>
      </c>
      <c r="E6" s="86">
        <f t="shared" si="1"/>
        <v>0</v>
      </c>
      <c r="F6" s="86">
        <f t="shared" si="2"/>
        <v>0</v>
      </c>
      <c r="G6" s="87">
        <f>(A8-(A8/C6))/3</f>
        <v>0</v>
      </c>
      <c r="H6" s="48"/>
      <c r="I6" s="49"/>
      <c r="J6" s="49"/>
      <c r="K6" s="49"/>
      <c r="L6" s="49"/>
      <c r="M6" s="51">
        <f>L4-M4</f>
        <v>0</v>
      </c>
      <c r="N6" s="5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ht="15.75" customHeight="1">
      <c r="A7" s="3" t="s">
        <v>79</v>
      </c>
      <c r="B7" s="52" t="s">
        <v>80</v>
      </c>
      <c r="C7" s="53" t="s">
        <v>81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5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ht="15.75" customHeight="1">
      <c r="A8" s="54">
        <f>A4*A6</f>
        <v>0</v>
      </c>
      <c r="B8" s="55">
        <f>A8*A10</f>
        <v>0</v>
      </c>
      <c r="C8" s="56" t="s">
        <v>54</v>
      </c>
      <c r="E8" s="57" t="s">
        <v>55</v>
      </c>
      <c r="G8" s="57" t="s">
        <v>56</v>
      </c>
      <c r="H8" s="57" t="s">
        <v>57</v>
      </c>
      <c r="I8" s="57" t="s">
        <v>58</v>
      </c>
      <c r="K8" s="57" t="s">
        <v>82</v>
      </c>
      <c r="L8" s="57" t="s">
        <v>59</v>
      </c>
      <c r="M8" s="57" t="s">
        <v>83</v>
      </c>
      <c r="N8" s="58" t="s">
        <v>60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ht="15.75" customHeight="1">
      <c r="A9" s="3" t="s">
        <v>61</v>
      </c>
      <c r="B9" s="3" t="s">
        <v>62</v>
      </c>
      <c r="C9" s="59">
        <f>'คำนวณเตรียมวัตถุดิบทำ เอนไซม์'!H4</f>
        <v>0</v>
      </c>
      <c r="E9" s="60">
        <f>A8</f>
        <v>0</v>
      </c>
      <c r="G9" s="61">
        <f t="shared" ref="G9:I9" si="3">D4</f>
        <v>0</v>
      </c>
      <c r="H9" s="61">
        <f t="shared" si="3"/>
        <v>0</v>
      </c>
      <c r="I9" s="61">
        <f t="shared" si="3"/>
        <v>0</v>
      </c>
      <c r="K9" s="61">
        <f>G4</f>
        <v>0</v>
      </c>
      <c r="L9" s="62">
        <f>'คำนวณเตรียมวัตถุดิบทำ เอนไซม์'!G8</f>
        <v>0</v>
      </c>
      <c r="M9" s="62">
        <f>'คำนวณเตรียมวัตถุดิบทำ เอนไซม์'!G4</f>
        <v>0</v>
      </c>
      <c r="N9" s="63">
        <f>'คำนวณเตรียมวัตถุดิบทำ เอนไซม์'!E6</f>
        <v>0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ht="15.75" customHeight="1">
      <c r="A10" s="17"/>
      <c r="B10" s="64"/>
      <c r="C10" s="56" t="s">
        <v>63</v>
      </c>
      <c r="E10" s="57" t="s">
        <v>64</v>
      </c>
      <c r="G10" s="57" t="s">
        <v>65</v>
      </c>
      <c r="H10" s="57" t="s">
        <v>66</v>
      </c>
      <c r="I10" s="57" t="s">
        <v>67</v>
      </c>
      <c r="K10" s="57" t="s">
        <v>84</v>
      </c>
      <c r="L10" s="57" t="s">
        <v>68</v>
      </c>
      <c r="M10" s="57" t="s">
        <v>85</v>
      </c>
      <c r="N10" s="58" t="s">
        <v>69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ht="15.75" customHeight="1">
      <c r="C11" s="65">
        <f>'คำนวณเตรียมวัตถุดิบทำ เอนไซม์'!H6</f>
        <v>0</v>
      </c>
      <c r="D11" s="49"/>
      <c r="E11" s="66">
        <f>B8</f>
        <v>0</v>
      </c>
      <c r="F11" s="49"/>
      <c r="G11" s="67">
        <f>D4*A10</f>
        <v>0</v>
      </c>
      <c r="H11" s="67">
        <f>E4*A10</f>
        <v>0</v>
      </c>
      <c r="I11" s="67">
        <f>F4*A10</f>
        <v>0</v>
      </c>
      <c r="J11" s="49"/>
      <c r="K11" s="67">
        <f>G4*A10</f>
        <v>0</v>
      </c>
      <c r="L11" s="68">
        <f>'คำนวณเตรียมวัตถุดิบทำ เอนไซม์'!G10</f>
        <v>0</v>
      </c>
      <c r="M11" s="68">
        <f>'คำนวณเตรียมวัตถุดิบทำ เอนไซม์'!G6</f>
        <v>0</v>
      </c>
      <c r="N11" s="69">
        <f>'คำนวณเตรียมวัตถุดิบทำ เอนไซม์'!E9</f>
        <v>0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N1"/>
    <mergeCell ref="A2:A3"/>
    <mergeCell ref="B2:C2"/>
    <mergeCell ref="E2:E3"/>
    <mergeCell ref="F2:F3"/>
    <mergeCell ref="I2:J3"/>
    <mergeCell ref="K2:K3"/>
    <mergeCell ref="L2:L3"/>
    <mergeCell ref="M2:N3"/>
    <mergeCell ref="H4:H6"/>
    <mergeCell ref="I4:J6"/>
    <mergeCell ref="K4:K6"/>
    <mergeCell ref="L4:L6"/>
    <mergeCell ref="M4:N4"/>
    <mergeCell ref="M5:N5"/>
    <mergeCell ref="M6:N6"/>
    <mergeCell ref="C7:N7"/>
    <mergeCell ref="C8:D8"/>
    <mergeCell ref="E8:F8"/>
    <mergeCell ref="C9:D9"/>
    <mergeCell ref="E9:F9"/>
    <mergeCell ref="C11:D11"/>
    <mergeCell ref="E11:F11"/>
    <mergeCell ref="I8:J8"/>
    <mergeCell ref="I9:J9"/>
    <mergeCell ref="A10:A11"/>
    <mergeCell ref="B10:B11"/>
    <mergeCell ref="C10:D10"/>
    <mergeCell ref="E10:F10"/>
    <mergeCell ref="I10:J10"/>
    <mergeCell ref="I11:J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8.63"/>
    <col customWidth="1" min="2" max="2" width="17.88"/>
    <col customWidth="1" min="3" max="3" width="14.5"/>
    <col customWidth="1" min="4" max="4" width="26.38"/>
    <col customWidth="1" min="5" max="5" width="15.38"/>
    <col customWidth="1" min="6" max="6" width="14.63"/>
    <col customWidth="1" min="7" max="7" width="30.38"/>
    <col customWidth="1" min="8" max="8" width="24.88"/>
    <col customWidth="1" min="9" max="9" width="12.75"/>
    <col customWidth="1" min="10" max="10" width="10.0"/>
    <col customWidth="1" min="11" max="11" width="17.13"/>
    <col customWidth="1" min="12" max="12" width="17.63"/>
    <col customWidth="1" min="13" max="13" width="17.5"/>
    <col customWidth="1" min="14" max="14" width="17.0"/>
    <col customWidth="1" min="15" max="15" width="18.0"/>
    <col customWidth="1" min="16" max="16" width="20.25"/>
    <col customWidth="1" min="17" max="17" width="18.75"/>
    <col customWidth="1" min="18" max="18" width="13.88"/>
  </cols>
  <sheetData>
    <row r="1" ht="15.75" customHeight="1">
      <c r="A1" s="88" t="s">
        <v>86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ht="15.75" customHeight="1" outlineLevel="1">
      <c r="A2" s="89" t="s">
        <v>38</v>
      </c>
      <c r="B2" s="36" t="s">
        <v>71</v>
      </c>
      <c r="C2" s="33"/>
      <c r="D2" s="71" t="s">
        <v>39</v>
      </c>
      <c r="E2" s="34" t="s">
        <v>40</v>
      </c>
      <c r="F2" s="34" t="s">
        <v>41</v>
      </c>
      <c r="G2" s="72" t="s">
        <v>16</v>
      </c>
      <c r="H2" s="36" t="s">
        <v>42</v>
      </c>
      <c r="I2" s="34" t="s">
        <v>43</v>
      </c>
      <c r="J2" s="33"/>
      <c r="K2" s="34" t="s">
        <v>44</v>
      </c>
      <c r="L2" s="34" t="s">
        <v>45</v>
      </c>
      <c r="M2" s="34" t="s">
        <v>87</v>
      </c>
      <c r="N2" s="35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15.75" customHeight="1" outlineLevel="1">
      <c r="A3" s="90"/>
      <c r="B3" s="39" t="s">
        <v>72</v>
      </c>
      <c r="C3" s="3" t="s">
        <v>73</v>
      </c>
      <c r="D3" s="73" t="s">
        <v>74</v>
      </c>
      <c r="G3" s="74" t="s">
        <v>75</v>
      </c>
      <c r="H3" s="39" t="s">
        <v>88</v>
      </c>
      <c r="N3" s="38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ht="15.75" customHeight="1" outlineLevel="1">
      <c r="A4" s="91"/>
      <c r="B4" s="75" t="s">
        <v>76</v>
      </c>
      <c r="C4" s="76">
        <v>6.0</v>
      </c>
      <c r="D4" s="77">
        <f>((A8-D10)/C4)/1.2</f>
        <v>0</v>
      </c>
      <c r="E4" s="78">
        <f t="shared" ref="E4:E6" si="1">D4/1.53</f>
        <v>0</v>
      </c>
      <c r="F4" s="78">
        <f t="shared" ref="F4:F6" si="2">D4/3</f>
        <v>0</v>
      </c>
      <c r="G4" s="79">
        <f>((A8-D10)-((A8-D10)/C4))/3</f>
        <v>0</v>
      </c>
      <c r="H4" s="92">
        <f>(B12+E12)*0.5</f>
        <v>0</v>
      </c>
      <c r="I4" s="43"/>
      <c r="K4" s="44">
        <v>40.0</v>
      </c>
      <c r="L4" s="93" t="str">
        <f>(B10+D10)*H4*I4/K4</f>
        <v>#DIV/0!</v>
      </c>
      <c r="M4" s="7" t="str">
        <f>L4*15%</f>
        <v>#DIV/0!</v>
      </c>
      <c r="N4" s="38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5.75" customHeight="1" outlineLevel="1">
      <c r="A5" s="94" t="s">
        <v>49</v>
      </c>
      <c r="B5" s="80" t="s">
        <v>77</v>
      </c>
      <c r="C5" s="81">
        <v>5.0</v>
      </c>
      <c r="D5" s="61">
        <f>((A8-D10)/C5)/1.2</f>
        <v>0</v>
      </c>
      <c r="E5" s="78">
        <f t="shared" si="1"/>
        <v>0</v>
      </c>
      <c r="F5" s="78">
        <f t="shared" si="2"/>
        <v>0</v>
      </c>
      <c r="G5" s="82">
        <f>((A8-D10)-((A8-D10)/C5))/3</f>
        <v>0</v>
      </c>
      <c r="H5" s="46"/>
      <c r="M5" s="3" t="s">
        <v>50</v>
      </c>
      <c r="N5" s="38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5.75" customHeight="1" outlineLevel="1">
      <c r="A6" s="95"/>
      <c r="B6" s="96" t="s">
        <v>78</v>
      </c>
      <c r="C6" s="97">
        <v>4.0</v>
      </c>
      <c r="D6" s="85">
        <f>((A8-D10)/C6)/1.2</f>
        <v>0</v>
      </c>
      <c r="E6" s="86">
        <f t="shared" si="1"/>
        <v>0</v>
      </c>
      <c r="F6" s="86">
        <f t="shared" si="2"/>
        <v>0</v>
      </c>
      <c r="G6" s="98">
        <f>((A8-D10)-((A8-D10)/C6))/3</f>
        <v>0</v>
      </c>
      <c r="H6" s="48"/>
      <c r="I6" s="49"/>
      <c r="J6" s="49"/>
      <c r="K6" s="49"/>
      <c r="L6" s="49"/>
      <c r="M6" s="51" t="str">
        <f>L4-M4</f>
        <v>#DIV/0!</v>
      </c>
      <c r="N6" s="5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ht="15.75" customHeight="1" outlineLevel="1">
      <c r="A7" s="39" t="s">
        <v>79</v>
      </c>
      <c r="B7" s="34" t="s">
        <v>89</v>
      </c>
      <c r="C7" s="35"/>
      <c r="D7" s="3" t="s">
        <v>90</v>
      </c>
      <c r="E7" s="3" t="s">
        <v>91</v>
      </c>
      <c r="G7" s="99" t="s">
        <v>92</v>
      </c>
      <c r="H7" s="100" t="s">
        <v>93</v>
      </c>
      <c r="I7" s="33"/>
      <c r="J7" s="33"/>
      <c r="K7" s="33"/>
      <c r="L7" s="33"/>
      <c r="M7" s="101" t="s">
        <v>94</v>
      </c>
      <c r="N7" s="102" t="s">
        <v>95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ht="15.75" customHeight="1" outlineLevel="1">
      <c r="A8" s="103">
        <f>A4*A6</f>
        <v>0</v>
      </c>
      <c r="B8" s="104" t="str">
        <f>A8-D8</f>
        <v>#DIV/0!</v>
      </c>
      <c r="C8" s="38"/>
      <c r="D8" s="6" t="str">
        <f>D10/A10</f>
        <v>#DIV/0!</v>
      </c>
      <c r="E8" s="105">
        <f>B12-E12</f>
        <v>0</v>
      </c>
      <c r="G8" s="46"/>
      <c r="H8" s="16" t="s">
        <v>96</v>
      </c>
      <c r="K8" s="16" t="s">
        <v>97</v>
      </c>
      <c r="L8" s="16" t="s">
        <v>98</v>
      </c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ht="15.75" customHeight="1" outlineLevel="1">
      <c r="A9" s="39" t="s">
        <v>61</v>
      </c>
      <c r="B9" s="106" t="s">
        <v>80</v>
      </c>
      <c r="C9" s="38"/>
      <c r="D9" s="3" t="s">
        <v>99</v>
      </c>
      <c r="E9" s="107" t="s">
        <v>100</v>
      </c>
      <c r="G9" s="108"/>
      <c r="H9" s="109"/>
      <c r="K9" s="110"/>
      <c r="L9" s="111"/>
      <c r="M9" s="112" t="str">
        <f>((B10*E8)*(100%-D12))/((G9+G10+G11+G12)-E10)</f>
        <v>#DIV/0!</v>
      </c>
      <c r="N9" s="113" t="str">
        <f>M9*1000</f>
        <v>#DIV/0!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ht="15.75" customHeight="1" outlineLevel="1">
      <c r="A10" s="114"/>
      <c r="B10" s="115" t="str">
        <f>(A8-D8)*A10</f>
        <v>#DIV/0!</v>
      </c>
      <c r="C10" s="38"/>
      <c r="D10" s="116"/>
      <c r="E10" s="105">
        <v>28.0</v>
      </c>
      <c r="G10" s="108"/>
      <c r="H10" s="109"/>
      <c r="K10" s="110"/>
      <c r="L10" s="111"/>
      <c r="N10" s="38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ht="15.75" customHeight="1" outlineLevel="1">
      <c r="A11" s="46"/>
      <c r="B11" s="3" t="s">
        <v>101</v>
      </c>
      <c r="C11" s="38"/>
      <c r="D11" s="3" t="s">
        <v>102</v>
      </c>
      <c r="E11" s="3" t="s">
        <v>103</v>
      </c>
      <c r="G11" s="108"/>
      <c r="H11" s="109"/>
      <c r="K11" s="110"/>
      <c r="L11" s="111"/>
      <c r="N11" s="38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ht="15.75" customHeight="1" outlineLevel="1">
      <c r="A12" s="48"/>
      <c r="B12" s="117"/>
      <c r="C12" s="50"/>
      <c r="D12" s="118"/>
      <c r="E12" s="119"/>
      <c r="G12" s="120"/>
      <c r="H12" s="121"/>
      <c r="I12" s="49"/>
      <c r="J12" s="49"/>
      <c r="K12" s="122"/>
      <c r="L12" s="123"/>
      <c r="M12" s="49"/>
      <c r="N12" s="50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ht="15.75" customHeight="1" outlineLevel="1">
      <c r="A13" s="124" t="s">
        <v>104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5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ht="15.75" customHeight="1" outlineLevel="1">
      <c r="A14" s="125" t="s">
        <v>105</v>
      </c>
      <c r="C14" s="126" t="s">
        <v>106</v>
      </c>
      <c r="E14" s="126" t="s">
        <v>107</v>
      </c>
      <c r="G14" s="126" t="s">
        <v>108</v>
      </c>
      <c r="H14" s="126" t="s">
        <v>109</v>
      </c>
      <c r="K14" s="126" t="s">
        <v>110</v>
      </c>
      <c r="L14" s="126" t="s">
        <v>111</v>
      </c>
      <c r="M14" s="126" t="s">
        <v>82</v>
      </c>
      <c r="N14" s="127" t="s">
        <v>112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ht="15.75" customHeight="1" outlineLevel="1">
      <c r="A15" s="128">
        <f>'คำนวณเตรียมวัตถุดิบทำ เอนไซม์'!H4</f>
        <v>0</v>
      </c>
      <c r="C15" s="129" t="str">
        <f>B8</f>
        <v>#DIV/0!</v>
      </c>
      <c r="E15" s="129" t="str">
        <f>D8</f>
        <v>#DIV/0!</v>
      </c>
      <c r="G15" s="129" t="str">
        <f>M9</f>
        <v>#DIV/0!</v>
      </c>
      <c r="H15" s="130">
        <f>D4</f>
        <v>0</v>
      </c>
      <c r="K15" s="130">
        <f t="shared" ref="K15:M15" si="3">E4</f>
        <v>0</v>
      </c>
      <c r="L15" s="130">
        <f t="shared" si="3"/>
        <v>0</v>
      </c>
      <c r="M15" s="130">
        <f t="shared" si="3"/>
        <v>0</v>
      </c>
      <c r="N15" s="131">
        <f>'คำนวณเตรียมวัตถุดิบทำ เอนไซม์'!G8</f>
        <v>0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ht="15.75" customHeight="1" outlineLevel="1">
      <c r="A16" s="125" t="s">
        <v>63</v>
      </c>
      <c r="C16" s="126" t="s">
        <v>113</v>
      </c>
      <c r="E16" s="126" t="s">
        <v>114</v>
      </c>
      <c r="G16" s="126" t="s">
        <v>114</v>
      </c>
      <c r="H16" s="126" t="s">
        <v>65</v>
      </c>
      <c r="K16" s="126" t="s">
        <v>115</v>
      </c>
      <c r="L16" s="126" t="s">
        <v>67</v>
      </c>
      <c r="M16" s="126" t="s">
        <v>116</v>
      </c>
      <c r="N16" s="127" t="s">
        <v>68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15.75" customHeight="1" outlineLevel="1">
      <c r="A17" s="132">
        <f>'คำนวณเตรียมวัตถุดิบทำ เอนไซม์'!H6</f>
        <v>0</v>
      </c>
      <c r="B17" s="49"/>
      <c r="C17" s="133" t="str">
        <f>B10</f>
        <v>#DIV/0!</v>
      </c>
      <c r="D17" s="49"/>
      <c r="E17" s="129" t="str">
        <f>E15*A10</f>
        <v>#DIV/0!</v>
      </c>
      <c r="G17" s="129" t="str">
        <f>M9*A10</f>
        <v>#DIV/0!</v>
      </c>
      <c r="H17" s="134">
        <f>D4*A10</f>
        <v>0</v>
      </c>
      <c r="I17" s="49"/>
      <c r="J17" s="49"/>
      <c r="K17" s="134">
        <f>E4*A10</f>
        <v>0</v>
      </c>
      <c r="L17" s="134">
        <f>F4*A10</f>
        <v>0</v>
      </c>
      <c r="M17" s="134">
        <f>G4*A10</f>
        <v>0</v>
      </c>
      <c r="N17" s="135">
        <f>'คำนวณเตรียมวัตถุดิบทำ เอนไซม์'!G10</f>
        <v>0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ht="15.75" customHeight="1" outlineLevel="1">
      <c r="A18" s="136" t="s">
        <v>117</v>
      </c>
      <c r="B18" s="33"/>
      <c r="C18" s="137" t="s">
        <v>118</v>
      </c>
      <c r="D18" s="35"/>
      <c r="E18" s="138" t="s">
        <v>119</v>
      </c>
      <c r="F18" s="33"/>
      <c r="G18" s="139" t="s">
        <v>120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15.75" customHeight="1" outlineLevel="1">
      <c r="A19" s="128">
        <f>'คำนวณเตรียมวัตถุดิบทำ เอนไซม์'!G4</f>
        <v>0</v>
      </c>
      <c r="C19" s="129">
        <f>'คำนวณเตรียมวัตถุดิบทำ เอนไซม์'!E6</f>
        <v>0</v>
      </c>
      <c r="D19" s="38"/>
      <c r="E19" s="140"/>
      <c r="G19" s="14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15.75" customHeight="1" outlineLevel="1">
      <c r="A20" s="125" t="s">
        <v>85</v>
      </c>
      <c r="C20" s="126" t="s">
        <v>69</v>
      </c>
      <c r="D20" s="38"/>
      <c r="E20" s="46"/>
      <c r="G20" s="142" t="s">
        <v>121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75" customHeight="1" outlineLevel="1">
      <c r="A21" s="132">
        <f>'คำนวณเตรียมวัตถุดิบทำ เอนไซม์'!G6</f>
        <v>0</v>
      </c>
      <c r="B21" s="49"/>
      <c r="C21" s="133">
        <f>'คำนวณเตรียมวัตถุดิบทำ เอนไซม์'!E9</f>
        <v>0</v>
      </c>
      <c r="D21" s="50"/>
      <c r="E21" s="48"/>
      <c r="F21" s="49"/>
      <c r="G21" s="143">
        <f>G19*A10</f>
        <v>0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7:C7"/>
    <mergeCell ref="B8:C8"/>
    <mergeCell ref="B9:C9"/>
    <mergeCell ref="A10:A12"/>
    <mergeCell ref="B10:C10"/>
    <mergeCell ref="B11:C11"/>
    <mergeCell ref="B12:C12"/>
    <mergeCell ref="A17:B17"/>
    <mergeCell ref="A18:B18"/>
    <mergeCell ref="A19:B19"/>
    <mergeCell ref="A20:B20"/>
    <mergeCell ref="A21:B21"/>
    <mergeCell ref="C18:D18"/>
    <mergeCell ref="C19:D19"/>
    <mergeCell ref="E19:F21"/>
    <mergeCell ref="C20:D20"/>
    <mergeCell ref="C21:D21"/>
    <mergeCell ref="A14:B14"/>
    <mergeCell ref="C14:D14"/>
    <mergeCell ref="A15:B15"/>
    <mergeCell ref="C15:D15"/>
    <mergeCell ref="A16:B16"/>
    <mergeCell ref="C16:D16"/>
    <mergeCell ref="C17:D17"/>
    <mergeCell ref="A1:N1"/>
    <mergeCell ref="A2:A3"/>
    <mergeCell ref="B2:C2"/>
    <mergeCell ref="E2:E3"/>
    <mergeCell ref="F2:F3"/>
    <mergeCell ref="I2:J3"/>
    <mergeCell ref="K2:K3"/>
    <mergeCell ref="L2:L3"/>
    <mergeCell ref="M2:N3"/>
    <mergeCell ref="H4:H6"/>
    <mergeCell ref="I4:J6"/>
    <mergeCell ref="K4:K6"/>
    <mergeCell ref="L4:L6"/>
    <mergeCell ref="M4:N4"/>
    <mergeCell ref="M5:N5"/>
    <mergeCell ref="M6:N6"/>
    <mergeCell ref="E7:F7"/>
    <mergeCell ref="G7:G8"/>
    <mergeCell ref="H7:L7"/>
    <mergeCell ref="M7:M8"/>
    <mergeCell ref="N7:N8"/>
    <mergeCell ref="E10:F10"/>
    <mergeCell ref="E11:F11"/>
    <mergeCell ref="E9:F9"/>
    <mergeCell ref="E12:F12"/>
    <mergeCell ref="E14:F14"/>
    <mergeCell ref="E15:F15"/>
    <mergeCell ref="E16:F16"/>
    <mergeCell ref="E17:F17"/>
    <mergeCell ref="E18:F18"/>
    <mergeCell ref="H12:J12"/>
    <mergeCell ref="A13:N13"/>
    <mergeCell ref="H14:J14"/>
    <mergeCell ref="H15:J15"/>
    <mergeCell ref="H16:J16"/>
    <mergeCell ref="H17:J17"/>
    <mergeCell ref="E8:F8"/>
    <mergeCell ref="H8:J8"/>
    <mergeCell ref="H9:J9"/>
    <mergeCell ref="M9:M12"/>
    <mergeCell ref="N9:N12"/>
    <mergeCell ref="H10:J10"/>
    <mergeCell ref="H11:J11"/>
  </mergeCells>
  <dataValidations>
    <dataValidation type="list" allowBlank="1" showErrorMessage="1" sqref="E19">
      <formula1>"ข้าวโพดดิบ,น้ำอ้อย,ในเตยแห้ง,ดอกเก๊กฮวย,ใบสเปียร์มิ้นต์อบแห้ง,กาแฟ พะเยา,เมล็ดโกโก้อบแห้ง,โกโก้สด"</formula1>
    </dataValidation>
    <dataValidation type="list" allowBlank="1" showErrorMessage="1" sqref="H9:H12">
      <formula1>"น้ำตาลทรายขาว,น้ำตาลทรายแดง,น้ำผึ้ง,คาราเมลไซรัป"</formula1>
    </dataValidation>
    <dataValidation type="list" allowBlank="1" showErrorMessage="1" sqref="L9:L12">
      <formula1>"Kg,กรัม,ลิตร,ml"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88"/>
    <col customWidth="1" min="3" max="3" width="14.5"/>
    <col customWidth="1" min="4" max="4" width="26.38"/>
    <col customWidth="1" min="5" max="5" width="15.38"/>
    <col customWidth="1" min="6" max="6" width="14.63"/>
    <col customWidth="1" min="7" max="7" width="30.38"/>
    <col customWidth="1" min="8" max="8" width="24.88"/>
    <col customWidth="1" min="9" max="9" width="12.75"/>
    <col customWidth="1" min="10" max="10" width="10.0"/>
    <col customWidth="1" min="11" max="11" width="17.13"/>
    <col customWidth="1" min="12" max="12" width="17.63"/>
    <col customWidth="1" min="13" max="13" width="17.5"/>
    <col customWidth="1" min="14" max="14" width="17.0"/>
    <col customWidth="1" min="15" max="15" width="18.0"/>
    <col customWidth="1" min="16" max="16" width="20.25"/>
    <col customWidth="1" min="17" max="17" width="18.75"/>
    <col customWidth="1" min="18" max="18" width="13.88"/>
  </cols>
  <sheetData>
    <row r="1" ht="15.75" customHeight="1">
      <c r="A1" s="144" t="s">
        <v>122</v>
      </c>
      <c r="M1" s="31"/>
      <c r="N1" s="145"/>
      <c r="O1" s="145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ht="15.75" customHeight="1">
      <c r="A2" s="36" t="s">
        <v>38</v>
      </c>
      <c r="B2" s="34" t="s">
        <v>89</v>
      </c>
      <c r="C2" s="35"/>
      <c r="D2" s="3" t="s">
        <v>90</v>
      </c>
      <c r="E2" s="146" t="s">
        <v>123</v>
      </c>
      <c r="G2" s="36" t="s">
        <v>124</v>
      </c>
      <c r="H2" s="34" t="s">
        <v>44</v>
      </c>
      <c r="I2" s="34" t="s">
        <v>45</v>
      </c>
      <c r="J2" s="33"/>
      <c r="K2" s="34" t="s">
        <v>46</v>
      </c>
      <c r="L2" s="35"/>
      <c r="M2" s="31"/>
      <c r="N2" s="145"/>
      <c r="O2" s="145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15.75" customHeight="1">
      <c r="A3" s="147"/>
      <c r="B3" s="104" t="str">
        <f>A7-D3</f>
        <v>#DIV/0!</v>
      </c>
      <c r="C3" s="38"/>
      <c r="D3" s="6" t="str">
        <f>D5/A9</f>
        <v>#DIV/0!</v>
      </c>
      <c r="E3" s="148">
        <f>A7/3</f>
        <v>0</v>
      </c>
      <c r="G3" s="149"/>
      <c r="H3" s="44">
        <v>40.0</v>
      </c>
      <c r="I3" s="93" t="str">
        <f>(B5+D5)*E5*G3/H3</f>
        <v>#DIV/0!</v>
      </c>
      <c r="K3" s="7" t="str">
        <f>I3*15%</f>
        <v>#DIV/0!</v>
      </c>
      <c r="L3" s="38"/>
      <c r="M3" s="31"/>
      <c r="N3" s="145"/>
      <c r="O3" s="14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ht="15.75" customHeight="1">
      <c r="A4" s="39" t="s">
        <v>49</v>
      </c>
      <c r="B4" s="52" t="s">
        <v>80</v>
      </c>
      <c r="C4" s="38"/>
      <c r="D4" s="3" t="s">
        <v>125</v>
      </c>
      <c r="E4" s="3" t="s">
        <v>126</v>
      </c>
      <c r="G4" s="46"/>
      <c r="K4" s="3" t="s">
        <v>50</v>
      </c>
      <c r="L4" s="38"/>
      <c r="M4" s="31"/>
      <c r="N4" s="145"/>
      <c r="O4" s="145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5.75" customHeight="1">
      <c r="A5" s="47"/>
      <c r="B5" s="150" t="str">
        <f>B3*A9</f>
        <v>#DIV/0!</v>
      </c>
      <c r="C5" s="50"/>
      <c r="D5" s="116"/>
      <c r="E5" s="151">
        <f>D9*0.5</f>
        <v>0</v>
      </c>
      <c r="G5" s="48"/>
      <c r="H5" s="49"/>
      <c r="I5" s="49"/>
      <c r="J5" s="49"/>
      <c r="K5" s="51" t="str">
        <f>I3-K3</f>
        <v>#DIV/0!</v>
      </c>
      <c r="L5" s="50"/>
      <c r="M5" s="31"/>
      <c r="N5" s="145"/>
      <c r="O5" s="145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5.75" customHeight="1">
      <c r="A6" s="94" t="s">
        <v>79</v>
      </c>
      <c r="B6" s="3" t="s">
        <v>100</v>
      </c>
      <c r="D6" s="3" t="s">
        <v>102</v>
      </c>
      <c r="E6" s="152" t="s">
        <v>92</v>
      </c>
      <c r="F6" s="153"/>
      <c r="G6" s="16" t="s">
        <v>93</v>
      </c>
      <c r="K6" s="16" t="s">
        <v>94</v>
      </c>
      <c r="L6" s="154" t="s">
        <v>95</v>
      </c>
      <c r="M6" s="31"/>
      <c r="N6" s="145"/>
      <c r="O6" s="145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ht="15.75" customHeight="1">
      <c r="A7" s="155">
        <f>A3*A5</f>
        <v>0</v>
      </c>
      <c r="B7" s="156">
        <v>28.0</v>
      </c>
      <c r="D7" s="157"/>
      <c r="E7" s="158"/>
      <c r="G7" s="16" t="s">
        <v>96</v>
      </c>
      <c r="I7" s="16" t="s">
        <v>97</v>
      </c>
      <c r="J7" s="16" t="s">
        <v>98</v>
      </c>
      <c r="L7" s="159"/>
      <c r="M7" s="31"/>
      <c r="N7" s="145"/>
      <c r="O7" s="145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ht="15.75" customHeight="1">
      <c r="A8" s="94" t="s">
        <v>61</v>
      </c>
      <c r="B8" s="3" t="s">
        <v>91</v>
      </c>
      <c r="D8" s="3" t="s">
        <v>127</v>
      </c>
      <c r="E8" s="160"/>
      <c r="G8" s="109"/>
      <c r="I8" s="161"/>
      <c r="J8" s="111"/>
      <c r="K8" s="112">
        <f>((D5*B9)*(100%-D7))/((E8+E9+E10)-B7)</f>
        <v>0</v>
      </c>
      <c r="L8" s="162">
        <f>K8*1000</f>
        <v>0</v>
      </c>
      <c r="M8" s="31"/>
      <c r="N8" s="145"/>
      <c r="O8" s="145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ht="15.75" customHeight="1">
      <c r="A9" s="163"/>
      <c r="B9" s="156">
        <f>B7-D9</f>
        <v>28</v>
      </c>
      <c r="D9" s="119"/>
      <c r="E9" s="160"/>
      <c r="G9" s="109"/>
      <c r="I9" s="161"/>
      <c r="J9" s="111"/>
      <c r="L9" s="159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ht="15.75" customHeight="1">
      <c r="A10" s="164"/>
      <c r="E10" s="160"/>
      <c r="G10" s="109"/>
      <c r="I10" s="161"/>
      <c r="J10" s="111"/>
      <c r="K10" s="165"/>
      <c r="L10" s="166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ht="15.75" customHeight="1">
      <c r="A11" s="138" t="s">
        <v>128</v>
      </c>
      <c r="B11" s="35"/>
      <c r="C11" s="124" t="s">
        <v>129</v>
      </c>
      <c r="D11" s="33"/>
      <c r="E11" s="33"/>
      <c r="F11" s="33"/>
      <c r="G11" s="33"/>
      <c r="H11" s="33"/>
      <c r="I11" s="33"/>
      <c r="J11" s="33"/>
      <c r="K11" s="33"/>
      <c r="L11" s="35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ht="15.75" customHeight="1">
      <c r="A12" s="167"/>
      <c r="B12" s="38"/>
      <c r="C12" s="125" t="s">
        <v>105</v>
      </c>
      <c r="E12" s="126" t="s">
        <v>106</v>
      </c>
      <c r="G12" s="126" t="s">
        <v>107</v>
      </c>
      <c r="H12" s="126" t="s">
        <v>108</v>
      </c>
      <c r="J12" s="126" t="s">
        <v>82</v>
      </c>
      <c r="L12" s="127" t="s">
        <v>117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ht="15.75" customHeight="1">
      <c r="A13" s="168"/>
      <c r="B13" s="169"/>
      <c r="C13" s="128">
        <f>'คำนวณเตรียมวัตถุดิบทำ เอนไซม์'!H4</f>
        <v>0</v>
      </c>
      <c r="E13" s="129" t="str">
        <f>B3</f>
        <v>#DIV/0!</v>
      </c>
      <c r="G13" s="129" t="str">
        <f>D3</f>
        <v>#DIV/0!</v>
      </c>
      <c r="H13" s="129">
        <f>K8</f>
        <v>0</v>
      </c>
      <c r="J13" s="130">
        <f>E3</f>
        <v>0</v>
      </c>
      <c r="L13" s="170">
        <f>'คำนวณเตรียมวัตถุดิบทำ เอนไซม์'!G4*2.5</f>
        <v>0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ht="15.75" customHeight="1">
      <c r="A14" s="171" t="s">
        <v>130</v>
      </c>
      <c r="B14" s="38"/>
      <c r="C14" s="125" t="s">
        <v>63</v>
      </c>
      <c r="E14" s="126" t="s">
        <v>113</v>
      </c>
      <c r="G14" s="126" t="s">
        <v>114</v>
      </c>
      <c r="H14" s="126" t="s">
        <v>114</v>
      </c>
      <c r="J14" s="126" t="s">
        <v>116</v>
      </c>
      <c r="L14" s="127" t="s">
        <v>85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ht="15.75" customHeight="1">
      <c r="A15" s="172">
        <f>A13*A9</f>
        <v>0</v>
      </c>
      <c r="B15" s="173"/>
      <c r="C15" s="132">
        <f>'คำนวณเตรียมวัตถุดิบทำ เอนไซม์'!H6</f>
        <v>0</v>
      </c>
      <c r="D15" s="49"/>
      <c r="E15" s="133" t="str">
        <f>B5</f>
        <v>#DIV/0!</v>
      </c>
      <c r="F15" s="49"/>
      <c r="G15" s="133" t="str">
        <f>G13*A9</f>
        <v>#DIV/0!</v>
      </c>
      <c r="H15" s="133">
        <f>H13*A9</f>
        <v>0</v>
      </c>
      <c r="I15" s="49"/>
      <c r="J15" s="134">
        <f>J13*A9</f>
        <v>0</v>
      </c>
      <c r="K15" s="49"/>
      <c r="L15" s="174">
        <f>'คำนวณเตรียมวัตถุดิบทำ เอนไซม์'!G6*2.5</f>
        <v>0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C12:D12"/>
    <mergeCell ref="C13:D13"/>
    <mergeCell ref="C15:D15"/>
    <mergeCell ref="B7:C7"/>
    <mergeCell ref="B8:C8"/>
    <mergeCell ref="A9:A10"/>
    <mergeCell ref="B9:C10"/>
    <mergeCell ref="D9:D10"/>
    <mergeCell ref="A11:B11"/>
    <mergeCell ref="A12:B12"/>
    <mergeCell ref="A1:L1"/>
    <mergeCell ref="B2:C2"/>
    <mergeCell ref="E2:F2"/>
    <mergeCell ref="I2:J2"/>
    <mergeCell ref="K2:L2"/>
    <mergeCell ref="E3:F3"/>
    <mergeCell ref="K3:L3"/>
    <mergeCell ref="G3:G5"/>
    <mergeCell ref="H3:H5"/>
    <mergeCell ref="I3:J5"/>
    <mergeCell ref="K4:L4"/>
    <mergeCell ref="K5:L5"/>
    <mergeCell ref="K6:K7"/>
    <mergeCell ref="L6:L7"/>
    <mergeCell ref="E8:F8"/>
    <mergeCell ref="E9:F9"/>
    <mergeCell ref="E10:F10"/>
    <mergeCell ref="E12:F12"/>
    <mergeCell ref="E13:F13"/>
    <mergeCell ref="E15:F15"/>
    <mergeCell ref="B3:C3"/>
    <mergeCell ref="B4:C4"/>
    <mergeCell ref="E4:F4"/>
    <mergeCell ref="B5:C5"/>
    <mergeCell ref="E5:F5"/>
    <mergeCell ref="B6:C6"/>
    <mergeCell ref="E6:F7"/>
    <mergeCell ref="G10:H10"/>
    <mergeCell ref="H12:I12"/>
    <mergeCell ref="J12:K12"/>
    <mergeCell ref="H13:I13"/>
    <mergeCell ref="J13:K13"/>
    <mergeCell ref="H15:I15"/>
    <mergeCell ref="J15:K15"/>
    <mergeCell ref="G6:J6"/>
    <mergeCell ref="G7:H7"/>
    <mergeCell ref="G8:H8"/>
    <mergeCell ref="K8:K10"/>
    <mergeCell ref="L8:L10"/>
    <mergeCell ref="G9:H9"/>
    <mergeCell ref="C11:L11"/>
    <mergeCell ref="A14:B14"/>
    <mergeCell ref="C14:D14"/>
    <mergeCell ref="E14:F14"/>
    <mergeCell ref="H14:I14"/>
    <mergeCell ref="J14:K14"/>
  </mergeCells>
  <dataValidations>
    <dataValidation type="list" allowBlank="1" showErrorMessage="1" sqref="A12">
      <formula1>"ข้าวโพดดิบ,น้ำอ้อย,ในเตยแห้ง,ดอกเก๊กฮวย,ใบสเปียร์มิ้นต์อบแห้ง,กาแฟ พะเยา,เมล็ดโกโก้อบแห้ง,โกโก้สด"</formula1>
    </dataValidation>
    <dataValidation type="list" allowBlank="1" showErrorMessage="1" sqref="G8:G10">
      <formula1>"น้ำตาลทรายขาว,น้ำตาลทรายแดง,น้ำผึ้ง,คาราเมลไซรัป"</formula1>
    </dataValidation>
    <dataValidation type="list" allowBlank="1" showErrorMessage="1" sqref="J8:J10 B13 B15">
      <formula1>"Kg,กรัม,ลิตร,ml"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5"/>
    <col customWidth="1" min="3" max="3" width="11.25"/>
    <col customWidth="1" min="4" max="4" width="28.5"/>
    <col customWidth="1" min="5" max="5" width="13.88"/>
    <col customWidth="1" min="6" max="6" width="10.25"/>
    <col customWidth="1" min="7" max="7" width="12.5"/>
    <col customWidth="1" min="8" max="8" width="24.38"/>
    <col customWidth="1" min="9" max="9" width="13.88"/>
    <col customWidth="1" min="10" max="10" width="10.25"/>
    <col customWidth="1" min="11" max="11" width="12.88"/>
    <col customWidth="1" min="12" max="12" width="18.13"/>
    <col customWidth="1" min="13" max="14" width="19.0"/>
    <col customWidth="1" min="15" max="15" width="16.75"/>
    <col customWidth="1" min="16" max="18" width="15.25"/>
  </cols>
  <sheetData>
    <row r="1" ht="15.75" customHeight="1">
      <c r="A1" s="175" t="s">
        <v>131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ht="15.75" customHeight="1">
      <c r="A2" s="176" t="s">
        <v>132</v>
      </c>
      <c r="B2" s="177" t="s">
        <v>133</v>
      </c>
      <c r="C2" s="177" t="s">
        <v>134</v>
      </c>
      <c r="D2" s="176" t="s">
        <v>135</v>
      </c>
      <c r="H2" s="178" t="s">
        <v>136</v>
      </c>
      <c r="L2" s="176" t="s">
        <v>137</v>
      </c>
      <c r="M2" s="3" t="s">
        <v>138</v>
      </c>
      <c r="N2" s="3" t="s">
        <v>139</v>
      </c>
      <c r="O2" s="179" t="s">
        <v>140</v>
      </c>
      <c r="P2" s="180" t="s">
        <v>141</v>
      </c>
      <c r="Q2" s="180" t="s">
        <v>142</v>
      </c>
      <c r="R2" s="176" t="s">
        <v>143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ht="15.75" customHeight="1">
      <c r="D3" s="176" t="s">
        <v>96</v>
      </c>
      <c r="E3" s="176" t="s">
        <v>97</v>
      </c>
      <c r="F3" s="176" t="s">
        <v>98</v>
      </c>
      <c r="G3" s="176" t="s">
        <v>144</v>
      </c>
      <c r="H3" s="178" t="s">
        <v>96</v>
      </c>
      <c r="I3" s="178" t="s">
        <v>97</v>
      </c>
      <c r="J3" s="178" t="s">
        <v>98</v>
      </c>
      <c r="K3" s="178" t="s">
        <v>144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 ht="15.75" customHeight="1">
      <c r="A4" s="181">
        <v>46023.0</v>
      </c>
      <c r="B4" s="182"/>
      <c r="C4" s="182"/>
      <c r="D4" s="183" t="s">
        <v>145</v>
      </c>
      <c r="E4" s="184">
        <f>'คำนวณเตรียมวัตถุดิบทำ เอนไซม์'!H6</f>
        <v>0</v>
      </c>
      <c r="F4" s="185" t="s">
        <v>146</v>
      </c>
      <c r="G4" s="186">
        <f>E4/1000*90</f>
        <v>0</v>
      </c>
      <c r="H4" s="187"/>
      <c r="I4" s="188"/>
      <c r="J4" s="189"/>
      <c r="K4" s="190"/>
      <c r="L4" s="191"/>
      <c r="M4" s="192"/>
      <c r="N4" s="193"/>
      <c r="O4" s="194">
        <f>SUM(G4:G37)+SUM(K4:K37)</f>
        <v>0</v>
      </c>
      <c r="P4" s="195"/>
      <c r="Q4" s="196"/>
      <c r="R4" s="197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</row>
    <row r="5" ht="15.75" customHeight="1">
      <c r="A5" s="198"/>
      <c r="B5" s="199" t="s">
        <v>147</v>
      </c>
      <c r="C5" s="199" t="s">
        <v>147</v>
      </c>
      <c r="D5" s="183" t="s">
        <v>148</v>
      </c>
      <c r="E5" s="184">
        <f>'คำนวณเตรียมวัตถุดิบทำ เอนไซม์'!G6</f>
        <v>0</v>
      </c>
      <c r="F5" s="185" t="s">
        <v>146</v>
      </c>
      <c r="G5" s="186">
        <f>E5/140</f>
        <v>0</v>
      </c>
      <c r="H5" s="187"/>
      <c r="I5" s="188"/>
      <c r="J5" s="189"/>
      <c r="K5" s="190"/>
      <c r="P5" s="195"/>
      <c r="Q5" s="196"/>
      <c r="R5" s="197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</row>
    <row r="6" ht="15.75" customHeight="1">
      <c r="A6" s="181">
        <v>46023.0</v>
      </c>
      <c r="B6" s="200"/>
      <c r="C6" s="182"/>
      <c r="D6" s="183" t="s">
        <v>149</v>
      </c>
      <c r="E6" s="184">
        <f>'คำนวณเตรียมวัตถุดิบทำ เอนไซม์'!G10</f>
        <v>0</v>
      </c>
      <c r="F6" s="185" t="s">
        <v>146</v>
      </c>
      <c r="G6" s="186">
        <f>E6/1000*120</f>
        <v>0</v>
      </c>
      <c r="H6" s="187"/>
      <c r="I6" s="188"/>
      <c r="J6" s="189"/>
      <c r="K6" s="190"/>
      <c r="P6" s="195"/>
      <c r="Q6" s="196"/>
      <c r="R6" s="197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</row>
    <row r="7" ht="15.75" customHeight="1">
      <c r="A7" s="181">
        <v>46023.0</v>
      </c>
      <c r="B7" s="200"/>
      <c r="C7" s="182"/>
      <c r="D7" s="183" t="s">
        <v>150</v>
      </c>
      <c r="E7" s="184">
        <f>'คำนวณเตรียมวัตถุดิบทำ เอนไซม์'!E9</f>
        <v>0</v>
      </c>
      <c r="F7" s="185" t="s">
        <v>151</v>
      </c>
      <c r="G7" s="186">
        <f>'คำนวณเตรียมวัตถุดิบทำ เอนไซม์'!C5*100/500</f>
        <v>0</v>
      </c>
      <c r="H7" s="187"/>
      <c r="I7" s="188"/>
      <c r="J7" s="189"/>
      <c r="K7" s="190"/>
      <c r="P7" s="195"/>
      <c r="Q7" s="196"/>
      <c r="R7" s="197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 ht="15.75" customHeight="1">
      <c r="A8" s="181">
        <v>46023.0</v>
      </c>
      <c r="B8" s="200"/>
      <c r="C8" s="182"/>
      <c r="D8" s="183" t="s">
        <v>152</v>
      </c>
      <c r="E8" s="184"/>
      <c r="F8" s="185" t="s">
        <v>153</v>
      </c>
      <c r="G8" s="186">
        <f>E8*28</f>
        <v>0</v>
      </c>
      <c r="H8" s="187"/>
      <c r="I8" s="188"/>
      <c r="J8" s="189"/>
      <c r="K8" s="190"/>
      <c r="P8" s="195"/>
      <c r="Q8" s="196"/>
      <c r="R8" s="197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</row>
    <row r="9" ht="15.75" customHeight="1">
      <c r="A9" s="181">
        <v>46023.0</v>
      </c>
      <c r="B9" s="200"/>
      <c r="C9" s="182"/>
      <c r="D9" s="183"/>
      <c r="E9" s="184"/>
      <c r="F9" s="185"/>
      <c r="G9" s="186"/>
      <c r="H9" s="187"/>
      <c r="I9" s="188"/>
      <c r="J9" s="189"/>
      <c r="K9" s="190"/>
      <c r="P9" s="195"/>
      <c r="Q9" s="196"/>
      <c r="R9" s="197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 ht="15.75" customHeight="1">
      <c r="A10" s="181">
        <v>46023.0</v>
      </c>
      <c r="B10" s="200"/>
      <c r="C10" s="182"/>
      <c r="D10" s="183"/>
      <c r="E10" s="184"/>
      <c r="F10" s="185"/>
      <c r="G10" s="186"/>
      <c r="H10" s="187"/>
      <c r="I10" s="188"/>
      <c r="J10" s="189"/>
      <c r="K10" s="190"/>
      <c r="P10" s="195"/>
      <c r="Q10" s="196"/>
      <c r="R10" s="197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 ht="15.75" customHeight="1">
      <c r="A11" s="181">
        <v>46023.0</v>
      </c>
      <c r="B11" s="200"/>
      <c r="C11" s="200"/>
      <c r="D11" s="183"/>
      <c r="E11" s="184"/>
      <c r="F11" s="185"/>
      <c r="G11" s="186"/>
      <c r="H11" s="187"/>
      <c r="I11" s="188"/>
      <c r="J11" s="189"/>
      <c r="K11" s="190"/>
      <c r="P11" s="195"/>
      <c r="Q11" s="196"/>
      <c r="R11" s="197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ht="15.75" customHeight="1">
      <c r="A12" s="181">
        <v>46023.0</v>
      </c>
      <c r="B12" s="200"/>
      <c r="C12" s="182"/>
      <c r="D12" s="183"/>
      <c r="E12" s="184"/>
      <c r="F12" s="185"/>
      <c r="G12" s="186"/>
      <c r="H12" s="187"/>
      <c r="I12" s="188"/>
      <c r="J12" s="189"/>
      <c r="K12" s="190"/>
      <c r="P12" s="195"/>
      <c r="Q12" s="196"/>
      <c r="R12" s="197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ht="15.75" customHeight="1">
      <c r="A13" s="181">
        <v>46023.0</v>
      </c>
      <c r="B13" s="200"/>
      <c r="C13" s="182"/>
      <c r="D13" s="183"/>
      <c r="E13" s="184"/>
      <c r="F13" s="185"/>
      <c r="G13" s="186"/>
      <c r="H13" s="187"/>
      <c r="I13" s="188"/>
      <c r="J13" s="189"/>
      <c r="K13" s="190"/>
      <c r="P13" s="195"/>
      <c r="Q13" s="196"/>
      <c r="R13" s="197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ht="15.75" customHeight="1">
      <c r="A14" s="181">
        <v>46023.0</v>
      </c>
      <c r="B14" s="200"/>
      <c r="C14" s="182"/>
      <c r="D14" s="183"/>
      <c r="E14" s="184"/>
      <c r="F14" s="185"/>
      <c r="G14" s="186"/>
      <c r="H14" s="187"/>
      <c r="I14" s="188"/>
      <c r="J14" s="189"/>
      <c r="K14" s="190"/>
      <c r="P14" s="195"/>
      <c r="Q14" s="196"/>
      <c r="R14" s="197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ht="15.75" customHeight="1">
      <c r="A15" s="181">
        <v>46023.0</v>
      </c>
      <c r="B15" s="200"/>
      <c r="C15" s="200"/>
      <c r="D15" s="183"/>
      <c r="E15" s="184"/>
      <c r="F15" s="185"/>
      <c r="G15" s="186"/>
      <c r="H15" s="187"/>
      <c r="I15" s="188"/>
      <c r="J15" s="189"/>
      <c r="K15" s="190"/>
      <c r="P15" s="195"/>
      <c r="Q15" s="196"/>
      <c r="R15" s="197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ht="15.75" customHeight="1">
      <c r="A16" s="181">
        <v>46023.0</v>
      </c>
      <c r="B16" s="200"/>
      <c r="C16" s="200"/>
      <c r="D16" s="183"/>
      <c r="E16" s="184"/>
      <c r="F16" s="185"/>
      <c r="G16" s="186"/>
      <c r="H16" s="187"/>
      <c r="I16" s="188"/>
      <c r="J16" s="189"/>
      <c r="K16" s="190"/>
      <c r="P16" s="195"/>
      <c r="Q16" s="196"/>
      <c r="R16" s="197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 ht="15.75" customHeight="1">
      <c r="A17" s="181">
        <v>46023.0</v>
      </c>
      <c r="B17" s="200"/>
      <c r="C17" s="200"/>
      <c r="D17" s="183"/>
      <c r="E17" s="184"/>
      <c r="F17" s="185"/>
      <c r="G17" s="186"/>
      <c r="H17" s="187"/>
      <c r="I17" s="188"/>
      <c r="J17" s="189"/>
      <c r="K17" s="190"/>
      <c r="P17" s="195"/>
      <c r="Q17" s="196"/>
      <c r="R17" s="197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</row>
    <row r="18" ht="15.75" customHeight="1">
      <c r="A18" s="181">
        <v>46023.0</v>
      </c>
      <c r="B18" s="200"/>
      <c r="C18" s="200"/>
      <c r="D18" s="183"/>
      <c r="E18" s="184"/>
      <c r="F18" s="185"/>
      <c r="G18" s="186"/>
      <c r="H18" s="187"/>
      <c r="I18" s="188"/>
      <c r="J18" s="189"/>
      <c r="K18" s="190"/>
      <c r="P18" s="195"/>
      <c r="Q18" s="196"/>
      <c r="R18" s="197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 ht="15.75" customHeight="1">
      <c r="A19" s="181">
        <v>46023.0</v>
      </c>
      <c r="B19" s="200"/>
      <c r="C19" s="200"/>
      <c r="D19" s="183"/>
      <c r="E19" s="184"/>
      <c r="F19" s="185"/>
      <c r="G19" s="186"/>
      <c r="H19" s="187"/>
      <c r="I19" s="188"/>
      <c r="J19" s="189"/>
      <c r="K19" s="190"/>
      <c r="P19" s="195"/>
      <c r="Q19" s="196"/>
      <c r="R19" s="197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</row>
    <row r="20" ht="15.75" customHeight="1">
      <c r="A20" s="181">
        <v>46023.0</v>
      </c>
      <c r="B20" s="200"/>
      <c r="C20" s="200"/>
      <c r="D20" s="183"/>
      <c r="E20" s="184"/>
      <c r="F20" s="185"/>
      <c r="G20" s="186"/>
      <c r="H20" s="187"/>
      <c r="I20" s="188"/>
      <c r="J20" s="189"/>
      <c r="K20" s="190"/>
      <c r="P20" s="195"/>
      <c r="Q20" s="196"/>
      <c r="R20" s="197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ht="15.75" customHeight="1">
      <c r="A21" s="183"/>
      <c r="B21" s="201"/>
      <c r="C21" s="201"/>
      <c r="D21" s="183"/>
      <c r="E21" s="184"/>
      <c r="F21" s="185"/>
      <c r="G21" s="186"/>
      <c r="H21" s="187"/>
      <c r="I21" s="188"/>
      <c r="J21" s="189"/>
      <c r="K21" s="190"/>
      <c r="P21" s="195"/>
      <c r="Q21" s="196"/>
      <c r="R21" s="197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ht="15.75" customHeight="1">
      <c r="A22" s="183"/>
      <c r="B22" s="201"/>
      <c r="C22" s="201"/>
      <c r="D22" s="183"/>
      <c r="E22" s="184"/>
      <c r="F22" s="185"/>
      <c r="G22" s="186"/>
      <c r="H22" s="187"/>
      <c r="I22" s="188"/>
      <c r="J22" s="189"/>
      <c r="K22" s="190"/>
      <c r="P22" s="195"/>
      <c r="Q22" s="196"/>
      <c r="R22" s="197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ht="15.75" customHeight="1">
      <c r="A23" s="183"/>
      <c r="B23" s="201"/>
      <c r="C23" s="201"/>
      <c r="D23" s="183"/>
      <c r="E23" s="184"/>
      <c r="F23" s="185"/>
      <c r="G23" s="186"/>
      <c r="H23" s="187"/>
      <c r="I23" s="188"/>
      <c r="J23" s="189"/>
      <c r="K23" s="190"/>
      <c r="P23" s="195"/>
      <c r="Q23" s="196"/>
      <c r="R23" s="197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ht="15.75" customHeight="1">
      <c r="A24" s="183"/>
      <c r="B24" s="201"/>
      <c r="C24" s="201"/>
      <c r="D24" s="183"/>
      <c r="E24" s="184"/>
      <c r="F24" s="185"/>
      <c r="G24" s="186"/>
      <c r="H24" s="187"/>
      <c r="I24" s="188"/>
      <c r="J24" s="189"/>
      <c r="K24" s="190"/>
      <c r="P24" s="195"/>
      <c r="Q24" s="196"/>
      <c r="R24" s="197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ht="15.75" customHeight="1">
      <c r="A25" s="183"/>
      <c r="B25" s="201"/>
      <c r="C25" s="201"/>
      <c r="D25" s="183"/>
      <c r="E25" s="184"/>
      <c r="F25" s="185"/>
      <c r="G25" s="186"/>
      <c r="H25" s="187"/>
      <c r="I25" s="188"/>
      <c r="J25" s="189"/>
      <c r="K25" s="190"/>
      <c r="P25" s="195"/>
      <c r="Q25" s="196"/>
      <c r="R25" s="197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ht="15.75" customHeight="1">
      <c r="A26" s="183"/>
      <c r="B26" s="201"/>
      <c r="C26" s="201"/>
      <c r="D26" s="183"/>
      <c r="E26" s="184"/>
      <c r="F26" s="185"/>
      <c r="G26" s="186"/>
      <c r="H26" s="187"/>
      <c r="I26" s="188"/>
      <c r="J26" s="189"/>
      <c r="K26" s="190"/>
      <c r="P26" s="195"/>
      <c r="Q26" s="196"/>
      <c r="R26" s="197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75" customHeight="1">
      <c r="A27" s="183"/>
      <c r="B27" s="201"/>
      <c r="C27" s="201"/>
      <c r="D27" s="183"/>
      <c r="E27" s="184"/>
      <c r="F27" s="185"/>
      <c r="G27" s="186"/>
      <c r="H27" s="187"/>
      <c r="I27" s="188"/>
      <c r="J27" s="189"/>
      <c r="K27" s="190"/>
      <c r="P27" s="195"/>
      <c r="Q27" s="196"/>
      <c r="R27" s="197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 ht="15.75" customHeight="1">
      <c r="A28" s="183"/>
      <c r="B28" s="201"/>
      <c r="C28" s="201"/>
      <c r="D28" s="183"/>
      <c r="E28" s="184"/>
      <c r="F28" s="185"/>
      <c r="G28" s="186"/>
      <c r="H28" s="187"/>
      <c r="I28" s="188"/>
      <c r="J28" s="189"/>
      <c r="K28" s="190"/>
      <c r="P28" s="195"/>
      <c r="Q28" s="196"/>
      <c r="R28" s="197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ht="15.75" customHeight="1">
      <c r="A29" s="183"/>
      <c r="B29" s="201"/>
      <c r="C29" s="201"/>
      <c r="D29" s="183"/>
      <c r="E29" s="184"/>
      <c r="F29" s="185"/>
      <c r="G29" s="186"/>
      <c r="H29" s="187"/>
      <c r="I29" s="188"/>
      <c r="J29" s="189"/>
      <c r="K29" s="190"/>
      <c r="P29" s="195"/>
      <c r="Q29" s="196"/>
      <c r="R29" s="197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ht="15.75" customHeight="1">
      <c r="A30" s="183"/>
      <c r="B30" s="201"/>
      <c r="C30" s="201"/>
      <c r="D30" s="183"/>
      <c r="E30" s="184"/>
      <c r="F30" s="185"/>
      <c r="G30" s="186"/>
      <c r="H30" s="187"/>
      <c r="I30" s="188"/>
      <c r="J30" s="189"/>
      <c r="K30" s="190"/>
      <c r="P30" s="195"/>
      <c r="Q30" s="196"/>
      <c r="R30" s="197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 ht="15.75" customHeight="1">
      <c r="A31" s="183"/>
      <c r="B31" s="201"/>
      <c r="C31" s="201"/>
      <c r="D31" s="183"/>
      <c r="E31" s="184"/>
      <c r="F31" s="185"/>
      <c r="G31" s="186"/>
      <c r="H31" s="187"/>
      <c r="I31" s="188"/>
      <c r="J31" s="189"/>
      <c r="K31" s="190"/>
      <c r="P31" s="195"/>
      <c r="Q31" s="196"/>
      <c r="R31" s="197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 ht="15.75" customHeight="1">
      <c r="A32" s="183"/>
      <c r="B32" s="201"/>
      <c r="C32" s="201"/>
      <c r="D32" s="183"/>
      <c r="E32" s="184"/>
      <c r="F32" s="185"/>
      <c r="G32" s="186"/>
      <c r="H32" s="187"/>
      <c r="I32" s="188"/>
      <c r="J32" s="189"/>
      <c r="K32" s="190"/>
      <c r="P32" s="195"/>
      <c r="Q32" s="196"/>
      <c r="R32" s="197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ht="15.75" customHeight="1">
      <c r="A33" s="183"/>
      <c r="B33" s="201"/>
      <c r="C33" s="201"/>
      <c r="D33" s="183"/>
      <c r="E33" s="184"/>
      <c r="F33" s="185"/>
      <c r="G33" s="186"/>
      <c r="H33" s="187"/>
      <c r="I33" s="188"/>
      <c r="J33" s="189"/>
      <c r="K33" s="190"/>
      <c r="P33" s="195"/>
      <c r="Q33" s="196"/>
      <c r="R33" s="197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ht="15.75" customHeight="1">
      <c r="A34" s="183"/>
      <c r="B34" s="201"/>
      <c r="C34" s="201"/>
      <c r="D34" s="183"/>
      <c r="E34" s="184"/>
      <c r="F34" s="185"/>
      <c r="G34" s="186"/>
      <c r="H34" s="187"/>
      <c r="I34" s="188"/>
      <c r="J34" s="189"/>
      <c r="K34" s="190"/>
      <c r="P34" s="195"/>
      <c r="Q34" s="196"/>
      <c r="R34" s="197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ht="15.75" customHeight="1">
      <c r="A35" s="183"/>
      <c r="B35" s="201"/>
      <c r="C35" s="201"/>
      <c r="D35" s="183"/>
      <c r="E35" s="184"/>
      <c r="F35" s="185"/>
      <c r="G35" s="186"/>
      <c r="H35" s="187"/>
      <c r="I35" s="188"/>
      <c r="J35" s="189"/>
      <c r="K35" s="190"/>
      <c r="P35" s="195"/>
      <c r="Q35" s="196"/>
      <c r="R35" s="197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ht="15.75" customHeight="1">
      <c r="A36" s="183"/>
      <c r="B36" s="201"/>
      <c r="C36" s="201"/>
      <c r="D36" s="183"/>
      <c r="E36" s="184"/>
      <c r="F36" s="185"/>
      <c r="G36" s="186"/>
      <c r="H36" s="187"/>
      <c r="I36" s="188"/>
      <c r="J36" s="189"/>
      <c r="K36" s="190"/>
      <c r="P36" s="195"/>
      <c r="Q36" s="196"/>
      <c r="R36" s="197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ht="15.75" customHeight="1">
      <c r="A37" s="183"/>
      <c r="B37" s="201"/>
      <c r="C37" s="201"/>
      <c r="D37" s="183"/>
      <c r="E37" s="184"/>
      <c r="F37" s="185"/>
      <c r="G37" s="186"/>
      <c r="H37" s="187"/>
      <c r="I37" s="188"/>
      <c r="J37" s="189"/>
      <c r="K37" s="190"/>
      <c r="P37" s="195"/>
      <c r="Q37" s="196"/>
      <c r="R37" s="197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M2:M3"/>
    <mergeCell ref="N2:N3"/>
    <mergeCell ref="L4:L37"/>
    <mergeCell ref="M4:M37"/>
    <mergeCell ref="N4:N37"/>
    <mergeCell ref="O4:O37"/>
    <mergeCell ref="O2:O3"/>
    <mergeCell ref="P2:P3"/>
    <mergeCell ref="Q2:Q3"/>
    <mergeCell ref="R2:R3"/>
    <mergeCell ref="A1:R1"/>
    <mergeCell ref="A2:A3"/>
    <mergeCell ref="B2:B3"/>
    <mergeCell ref="C2:C3"/>
    <mergeCell ref="D2:G2"/>
    <mergeCell ref="H2:K2"/>
    <mergeCell ref="L2:L3"/>
  </mergeCells>
  <dataValidations>
    <dataValidation type="list" allowBlank="1" showErrorMessage="1" sqref="D4:D37 H4:H37">
      <formula1>"ข้าวเจ้าดิบ,ข้าวเหนียวดิบ,ข้าวเปี๋ยน(ข้าวเหนียว),ข้าวโพดดิบ,ข้าวบาร์เลย์ดิบ,ข้าวสาลีดิบ,ข้าวฟ่างแดงดิบ,ข้าวหอมมะลิดิบ,มันสำปะหลัง,น้ำอ้อย,กากน้ำตาล,คาราเมลไซรัป,น้ำตาลทราบขาว,น้ำตาลทรายแดง,น้ำผึ่ง,ลูกแป้ง,ยีสต์,เอนไซม์,โซเดียมเมตาไบซัลไฟ,เปลือกส้มโอแห้ง,ใ"&amp;"นเตยแห้ง,ดอกเก๊กฮวย,ใบสเปียร์มิ้นต์อบแห้ง,กาแฟ พะเยา,เมล็ดโกโก้อบแห้ง,โกโก้สด"</formula1>
    </dataValidation>
    <dataValidation type="list" allowBlank="1" showErrorMessage="1" sqref="F4:F37 J4:J37">
      <formula1>"Kg,กรัม,ลิตร,ml"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73.0"/>
    <col customWidth="1" min="3" max="4" width="12.63"/>
    <col customWidth="1" min="5" max="5" width="20.38"/>
    <col customWidth="1" min="6" max="6" width="27.0"/>
    <col customWidth="1" min="7" max="7" width="41.75"/>
  </cols>
  <sheetData>
    <row r="1" ht="15.75" customHeight="1">
      <c r="A1" s="202" t="s">
        <v>154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ht="15.75" customHeight="1">
      <c r="A2" s="202" t="s">
        <v>155</v>
      </c>
      <c r="B2" s="202" t="s">
        <v>156</v>
      </c>
      <c r="C2" s="202" t="s">
        <v>157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t="15.75" customHeight="1">
      <c r="A3" s="203">
        <v>1.0</v>
      </c>
      <c r="B3" s="204" t="s">
        <v>158</v>
      </c>
      <c r="C3" s="205" t="b"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15.75" customHeight="1">
      <c r="A4" s="206">
        <v>2.0</v>
      </c>
      <c r="B4" s="207" t="s">
        <v>159</v>
      </c>
      <c r="C4" s="208" t="b"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t="15.75" customHeight="1">
      <c r="A5" s="209">
        <v>3.0</v>
      </c>
      <c r="B5" s="210" t="s">
        <v>160</v>
      </c>
      <c r="C5" s="211" t="b"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ht="15.75" customHeight="1">
      <c r="A6" s="206">
        <v>4.0</v>
      </c>
      <c r="B6" s="210" t="s">
        <v>161</v>
      </c>
      <c r="C6" s="211" t="b"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t="15.75" customHeight="1">
      <c r="A7" s="209">
        <v>5.0</v>
      </c>
      <c r="B7" s="210" t="s">
        <v>162</v>
      </c>
      <c r="C7" s="211" t="b"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5.75" customHeight="1">
      <c r="A8" s="206">
        <v>6.0</v>
      </c>
      <c r="B8" s="210" t="s">
        <v>163</v>
      </c>
      <c r="C8" s="211" t="b"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5.75" customHeight="1">
      <c r="A9" s="209">
        <v>7.0</v>
      </c>
      <c r="B9" s="210" t="s">
        <v>164</v>
      </c>
      <c r="C9" s="211" t="b"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5.75" customHeight="1">
      <c r="A10" s="206">
        <v>8.0</v>
      </c>
      <c r="B10" s="210" t="s">
        <v>165</v>
      </c>
      <c r="C10" s="211" t="b"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5.75" customHeight="1">
      <c r="A11" s="209">
        <v>9.0</v>
      </c>
      <c r="B11" s="210" t="s">
        <v>166</v>
      </c>
      <c r="C11" s="211" t="b"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5.75" customHeight="1">
      <c r="A12" s="206">
        <v>10.0</v>
      </c>
      <c r="B12" s="210" t="s">
        <v>167</v>
      </c>
      <c r="C12" s="211" t="b"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5.75" customHeight="1">
      <c r="A13" s="209">
        <v>11.0</v>
      </c>
      <c r="B13" s="210" t="s">
        <v>168</v>
      </c>
      <c r="C13" s="211" t="b"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5.75" customHeight="1">
      <c r="A14" s="206">
        <v>12.0</v>
      </c>
      <c r="B14" s="210" t="s">
        <v>169</v>
      </c>
      <c r="C14" s="211" t="b"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5.75" customHeight="1">
      <c r="A15" s="209">
        <v>13.0</v>
      </c>
      <c r="B15" s="210" t="s">
        <v>170</v>
      </c>
      <c r="C15" s="211" t="b"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5.75" customHeight="1">
      <c r="A16" s="212">
        <v>14.0</v>
      </c>
      <c r="B16" s="204" t="s">
        <v>171</v>
      </c>
      <c r="C16" s="205" t="b"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5.75" customHeight="1">
      <c r="A17" s="209">
        <v>15.0</v>
      </c>
      <c r="B17" s="210" t="s">
        <v>172</v>
      </c>
      <c r="C17" s="211" t="b"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5.75" customHeight="1">
      <c r="A18" s="206">
        <v>16.0</v>
      </c>
      <c r="B18" s="210" t="s">
        <v>173</v>
      </c>
      <c r="C18" s="211" t="b">
        <v>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5.75" customHeight="1">
      <c r="A19" s="209">
        <v>17.0</v>
      </c>
      <c r="B19" s="213" t="s">
        <v>174</v>
      </c>
      <c r="C19" s="211" t="b"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5.75" customHeight="1">
      <c r="A20" s="212">
        <v>18.0</v>
      </c>
      <c r="B20" s="214" t="s">
        <v>175</v>
      </c>
      <c r="C20" s="205" t="b"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5.75" customHeight="1">
      <c r="A21" s="209">
        <v>19.0</v>
      </c>
      <c r="B21" s="213" t="s">
        <v>176</v>
      </c>
      <c r="C21" s="211" t="b"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5.75" customHeight="1">
      <c r="A22" s="206">
        <v>20.0</v>
      </c>
      <c r="B22" s="213" t="s">
        <v>177</v>
      </c>
      <c r="C22" s="211" t="b"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5.75" customHeight="1">
      <c r="A23" s="209">
        <v>21.0</v>
      </c>
      <c r="B23" s="213" t="s">
        <v>178</v>
      </c>
      <c r="C23" s="211" t="b"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5.75" customHeight="1">
      <c r="A24" s="206">
        <v>22.0</v>
      </c>
      <c r="B24" s="213" t="s">
        <v>179</v>
      </c>
      <c r="C24" s="211" t="b"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5.75" customHeight="1">
      <c r="A25" s="215">
        <v>23.0</v>
      </c>
      <c r="B25" s="216" t="s">
        <v>180</v>
      </c>
      <c r="C25" s="217" t="b"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5.75" customHeight="1">
      <c r="A26" s="206">
        <v>24.0</v>
      </c>
      <c r="B26" s="213" t="s">
        <v>181</v>
      </c>
      <c r="C26" s="211" t="b">
        <v>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5.75" customHeight="1">
      <c r="A27" s="209">
        <v>25.0</v>
      </c>
      <c r="B27" s="213" t="s">
        <v>182</v>
      </c>
      <c r="C27" s="211" t="b">
        <v>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5.75" customHeight="1">
      <c r="A28" s="206">
        <v>26.0</v>
      </c>
      <c r="B28" s="213" t="s">
        <v>183</v>
      </c>
      <c r="C28" s="211" t="b">
        <v>0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5.75" customHeight="1">
      <c r="A29" s="203">
        <v>27.0</v>
      </c>
      <c r="B29" s="214" t="s">
        <v>184</v>
      </c>
      <c r="C29" s="205" t="b">
        <v>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5.75" customHeight="1">
      <c r="A30" s="206">
        <v>28.0</v>
      </c>
      <c r="B30" s="213" t="s">
        <v>185</v>
      </c>
      <c r="C30" s="211" t="b">
        <v>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5.75" customHeight="1">
      <c r="A31" s="209">
        <v>29.0</v>
      </c>
      <c r="B31" s="213" t="s">
        <v>186</v>
      </c>
      <c r="C31" s="211" t="b">
        <v>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5.75" customHeight="1">
      <c r="A32" s="206">
        <v>30.0</v>
      </c>
      <c r="B32" s="213" t="s">
        <v>187</v>
      </c>
      <c r="C32" s="211" t="b">
        <v>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5.75" customHeight="1">
      <c r="A33" s="209">
        <v>31.0</v>
      </c>
      <c r="B33" s="218" t="s">
        <v>188</v>
      </c>
      <c r="C33" s="219" t="b">
        <v>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conditionalFormatting sqref="A3:C33">
    <cfRule type="expression" dxfId="0" priority="1">
      <formula>$C3=true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7.0"/>
    <col customWidth="1" min="3" max="3" width="41.75"/>
    <col customWidth="1" min="4" max="4" width="6.38"/>
    <col customWidth="1" min="5" max="5" width="21.13"/>
    <col customWidth="1" min="6" max="6" width="30.25"/>
    <col customWidth="1" min="7" max="7" width="23.5"/>
  </cols>
  <sheetData>
    <row r="1" ht="15.75" customHeight="1">
      <c r="A1" s="220" t="s">
        <v>189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ht="15.75" customHeight="1">
      <c r="A2" s="220" t="s">
        <v>135</v>
      </c>
      <c r="B2" s="220" t="s">
        <v>190</v>
      </c>
      <c r="C2" s="220" t="s">
        <v>191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ht="15.75" customHeight="1">
      <c r="A3" s="220" t="s">
        <v>192</v>
      </c>
      <c r="B3" s="221" t="s">
        <v>193</v>
      </c>
      <c r="C3" s="221" t="s">
        <v>194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ht="15.75" customHeight="1">
      <c r="A4" s="220" t="s">
        <v>195</v>
      </c>
      <c r="B4" s="221" t="s">
        <v>196</v>
      </c>
      <c r="C4" s="221" t="s">
        <v>197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ht="15.75" customHeight="1">
      <c r="A5" s="220" t="s">
        <v>198</v>
      </c>
      <c r="B5" s="221" t="s">
        <v>199</v>
      </c>
      <c r="C5" s="221" t="s">
        <v>200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ht="15.75" customHeight="1">
      <c r="A6" s="220" t="s">
        <v>201</v>
      </c>
      <c r="B6" s="221" t="s">
        <v>202</v>
      </c>
      <c r="C6" s="221" t="s">
        <v>203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ht="15.75" customHeight="1">
      <c r="A7" s="220" t="s">
        <v>204</v>
      </c>
      <c r="B7" s="221" t="s">
        <v>205</v>
      </c>
      <c r="C7" s="221" t="s">
        <v>206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ht="15.75" customHeight="1">
      <c r="A8" s="220" t="s">
        <v>207</v>
      </c>
      <c r="B8" s="221" t="s">
        <v>208</v>
      </c>
      <c r="C8" s="221" t="s">
        <v>209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ht="15.75" customHeight="1">
      <c r="A9" s="220" t="s">
        <v>210</v>
      </c>
      <c r="B9" s="221" t="s">
        <v>211</v>
      </c>
      <c r="C9" s="221" t="s">
        <v>212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ht="15.75" customHeight="1">
      <c r="A10" s="220" t="s">
        <v>213</v>
      </c>
      <c r="B10" s="221" t="s">
        <v>214</v>
      </c>
      <c r="C10" s="221" t="s">
        <v>215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ht="15.75" customHeight="1">
      <c r="A21" s="22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ht="15.75" customHeight="1">
      <c r="A22" s="22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ht="15.75" customHeight="1">
      <c r="A23" s="22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0.25"/>
    <col customWidth="1" min="3" max="3" width="23.5"/>
    <col customWidth="1" min="4" max="6" width="12.63"/>
  </cols>
  <sheetData>
    <row r="1" ht="15.75" customHeight="1">
      <c r="A1" s="223" t="s">
        <v>216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ht="15.75" customHeight="1">
      <c r="A2" s="223" t="s">
        <v>135</v>
      </c>
      <c r="B2" s="223" t="s">
        <v>190</v>
      </c>
      <c r="C2" s="223" t="s">
        <v>191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ht="15.75" customHeight="1">
      <c r="A3" s="223" t="s">
        <v>217</v>
      </c>
      <c r="B3" s="224" t="s">
        <v>218</v>
      </c>
      <c r="C3" s="224" t="s">
        <v>219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ht="15.75" customHeight="1">
      <c r="A4" s="223" t="s">
        <v>220</v>
      </c>
      <c r="B4" s="224" t="s">
        <v>221</v>
      </c>
      <c r="C4" s="224" t="s">
        <v>222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ht="15.75" customHeight="1">
      <c r="A5" s="223" t="s">
        <v>223</v>
      </c>
      <c r="B5" s="224" t="s">
        <v>224</v>
      </c>
      <c r="C5" s="224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ht="15.75" customHeight="1">
      <c r="A6" s="223" t="s">
        <v>225</v>
      </c>
      <c r="B6" s="224" t="s">
        <v>226</v>
      </c>
      <c r="C6" s="224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ht="15.75" customHeight="1">
      <c r="A7" s="223" t="s">
        <v>227</v>
      </c>
      <c r="B7" s="224" t="s">
        <v>228</v>
      </c>
      <c r="C7" s="224" t="s">
        <v>229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ht="15.75" customHeight="1">
      <c r="A8" s="223" t="s">
        <v>230</v>
      </c>
      <c r="B8" s="224" t="s">
        <v>231</v>
      </c>
      <c r="C8" s="224" t="s">
        <v>232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44.0"/>
    <col customWidth="1" min="3" max="3" width="41.75"/>
    <col customWidth="1" min="4" max="4" width="6.38"/>
    <col customWidth="1" min="5" max="5" width="21.13"/>
    <col customWidth="1" min="6" max="6" width="30.25"/>
    <col customWidth="1" min="7" max="7" width="23.5"/>
  </cols>
  <sheetData>
    <row r="1" ht="15.75" customHeight="1">
      <c r="A1" s="225" t="s">
        <v>233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ht="15.75" customHeight="1">
      <c r="A2" s="226" t="s">
        <v>234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ht="15.75" customHeight="1">
      <c r="A3" s="226" t="s">
        <v>235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ht="15.75" customHeight="1">
      <c r="A4" s="226" t="s">
        <v>236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ht="15.7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ht="15.75" customHeight="1">
      <c r="A21" s="22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ht="15.75" customHeight="1">
      <c r="A22" s="22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ht="15.75" customHeight="1">
      <c r="A23" s="22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3:B3"/>
    <mergeCell ref="A4:B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1.75"/>
    <col customWidth="1" min="3" max="3" width="6.38"/>
    <col customWidth="1" min="4" max="4" width="21.13"/>
    <col customWidth="1" min="5" max="5" width="30.25"/>
    <col customWidth="1" min="6" max="6" width="23.5"/>
  </cols>
  <sheetData>
    <row r="1" ht="15.75" customHeight="1">
      <c r="A1" s="227" t="s">
        <v>237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ht="15.75" customHeight="1">
      <c r="A2" s="228" t="s">
        <v>238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ht="15.75" customHeight="1">
      <c r="A3" s="228" t="s">
        <v>239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ht="15.75" customHeight="1">
      <c r="A4" s="228" t="s">
        <v>240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ht="15.7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3:B3"/>
    <mergeCell ref="A4:B4"/>
  </mergeCells>
  <drawing r:id="rId1"/>
</worksheet>
</file>